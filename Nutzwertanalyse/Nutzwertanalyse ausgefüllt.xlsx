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aarvergleich Kriterien" sheetId="1" state="visible" r:id="rId3"/>
    <sheet name="Eigenschaften" sheetId="2" state="visible" r:id="rId4"/>
    <sheet name="Werteskala" sheetId="3" state="visible" r:id="rId5"/>
    <sheet name="Bewertung Eigenschaften" sheetId="4" state="visible" r:id="rId6"/>
    <sheet name="Nutzwert" sheetId="5" state="visible" r:id="rId7"/>
  </sheets>
  <definedNames>
    <definedName function="false" hidden="false" localSheetId="3" name="_xlnm.Print_Area" vbProcedure="false">'Bewertung Eigenschaften'!$A$1:$E$15</definedName>
    <definedName function="false" hidden="false" localSheetId="1" name="_xlnm.Print_Area" vbProcedure="false">Eigenschaften!$A$5:$F$15</definedName>
    <definedName function="false" hidden="false" localSheetId="4" name="_xlnm.Print_Area" vbProcedure="false">Nutzwert!$A$1:$L$21</definedName>
    <definedName function="false" hidden="false" localSheetId="2" name="_xlnm.Print_Area" vbProcedure="false">Werteskala!$A$1:$H$13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<sst xmlns="http://schemas.openxmlformats.org/spreadsheetml/2006/main" count="82" uniqueCount="57">
  <si>
    <r>
      <rPr>
        <b val="true"/>
        <sz val="9"/>
        <color theme="1"/>
        <rFont val="Calibri"/>
        <family val="2"/>
        <charset val="1"/>
      </rPr>
      <t xml:space="preserve">Einfache Konstruktion:</t>
    </r>
    <r>
      <rPr>
        <sz val="9"/>
        <color theme="1"/>
        <rFont val="Calibri"/>
        <family val="2"/>
        <charset val="1"/>
      </rPr>
      <t xml:space="preserve"> Beurteilung der konstruktiven Komplexität und Umsetzbarkeit des Konzepts.
</t>
    </r>
    <r>
      <rPr>
        <b val="true"/>
        <sz val="9"/>
        <color theme="1"/>
        <rFont val="Calibri"/>
        <family val="2"/>
        <charset val="1"/>
      </rPr>
      <t xml:space="preserve">Zielsicherheit / Ablagegenauigkeit:</t>
    </r>
    <r>
      <rPr>
        <sz val="9"/>
        <color theme="1"/>
        <rFont val="Calibri"/>
        <family val="2"/>
        <charset val="1"/>
      </rPr>
      <t xml:space="preserve"> Beurteilung der Genauigkeit beim Positionieren und Ablegen der Objekte.
</t>
    </r>
    <r>
      <rPr>
        <b val="true"/>
        <sz val="9"/>
        <color theme="1"/>
        <rFont val="Calibri"/>
        <family val="2"/>
        <charset val="1"/>
      </rPr>
      <t xml:space="preserve">Betriebssicherheit:</t>
    </r>
    <r>
      <rPr>
        <sz val="9"/>
        <color theme="1"/>
        <rFont val="Calibri"/>
        <family val="2"/>
        <charset val="1"/>
      </rPr>
      <t xml:space="preserve"> Beurteilung der Zuverlässigkeit und Funktionsstabilität im Betrieb.
</t>
    </r>
    <r>
      <rPr>
        <b val="true"/>
        <sz val="9"/>
        <color theme="1"/>
        <rFont val="Calibri"/>
        <family val="2"/>
        <charset val="1"/>
      </rPr>
      <t xml:space="preserve">Geschwindigkeit / Strategie:</t>
    </r>
    <r>
      <rPr>
        <sz val="9"/>
        <color theme="1"/>
        <rFont val="Calibri"/>
        <family val="2"/>
        <charset val="1"/>
      </rPr>
      <t xml:space="preserve"> Beurteilung der zeitlichen Effizienz und der Zweckmäßigkeit des Bewegungsablaufs.
</t>
    </r>
    <r>
      <rPr>
        <b val="true"/>
        <sz val="9"/>
        <color theme="1"/>
        <rFont val="Calibri"/>
        <family val="2"/>
        <charset val="1"/>
      </rPr>
      <t xml:space="preserve">Modularer Aufbau:</t>
    </r>
    <r>
      <rPr>
        <sz val="9"/>
        <color theme="1"/>
        <rFont val="Calibri"/>
        <family val="2"/>
        <charset val="1"/>
      </rPr>
      <t xml:space="preserve"> Beurteilung der Gliederung in anpassbare und austauschbare Baugruppen.
</t>
    </r>
    <r>
      <rPr>
        <b val="true"/>
        <sz val="9"/>
        <color theme="1"/>
        <rFont val="Calibri"/>
        <family val="2"/>
        <charset val="1"/>
      </rPr>
      <t xml:space="preserve">Wendigkeit des Roboters: </t>
    </r>
    <r>
      <rPr>
        <sz val="9"/>
        <color theme="1"/>
        <rFont val="Calibri"/>
        <family val="2"/>
        <charset val="1"/>
      </rPr>
      <t xml:space="preserve">Beurteilung der Beweglichkeit und Manövrierfähigkeit auf dem Spielfeld.</t>
    </r>
  </si>
  <si>
    <t xml:space="preserve">Geschwindigkeit / Strategie </t>
  </si>
  <si>
    <t xml:space="preserve">Einfache Konstruktion</t>
  </si>
  <si>
    <t xml:space="preserve">2: besser/wichtiger</t>
  </si>
  <si>
    <t xml:space="preserve">Zielsicherheit / Ablagegenauigkeit</t>
  </si>
  <si>
    <t xml:space="preserve">1: identisch</t>
  </si>
  <si>
    <t xml:space="preserve">Betriebssicherheit (störungsfrei)</t>
  </si>
  <si>
    <t xml:space="preserve">0: schlechter</t>
  </si>
  <si>
    <t xml:space="preserve">Modularer Aufbau </t>
  </si>
  <si>
    <t xml:space="preserve">Wendigkeit des Roboters</t>
  </si>
  <si>
    <t xml:space="preserve">Summe absolut</t>
  </si>
  <si>
    <t xml:space="preserve">Summe normiert</t>
  </si>
  <si>
    <t xml:space="preserve">Lösung 1</t>
  </si>
  <si>
    <t xml:space="preserve">Lösung 2</t>
  </si>
  <si>
    <t xml:space="preserve">Lösung 3</t>
  </si>
  <si>
    <t xml:space="preserve">einfach</t>
  </si>
  <si>
    <t xml:space="preserve">normal</t>
  </si>
  <si>
    <t xml:space="preserve">schwierig</t>
  </si>
  <si>
    <t xml:space="preserve">gute Genauigkeit</t>
  </si>
  <si>
    <t xml:space="preserve">sehr betriebssicher</t>
  </si>
  <si>
    <t xml:space="preserve">wenig störanfällig</t>
  </si>
  <si>
    <t xml:space="preserve">mittel / teilweise sinvolle Strategie</t>
  </si>
  <si>
    <t xml:space="preserve">langsam / keine sinnvolle Strategie</t>
  </si>
  <si>
    <t xml:space="preserve">schnell / gute Strategie</t>
  </si>
  <si>
    <t xml:space="preserve">sehr modular</t>
  </si>
  <si>
    <t xml:space="preserve">teilweise modular</t>
  </si>
  <si>
    <t xml:space="preserve">mittel</t>
  </si>
  <si>
    <t xml:space="preserve">gut</t>
  </si>
  <si>
    <t xml:space="preserve">Die Werteskala hilft dabei, Eigenschaften in Zahlen umzuwandeln, 
damit man sie in der Nutzwertanalyse besser bewerten und miteinander vergleichen kann.</t>
  </si>
  <si>
    <t xml:space="preserve">sehr schwierig  </t>
  </si>
  <si>
    <t xml:space="preserve">einfach </t>
  </si>
  <si>
    <t xml:space="preserve">sehr einfach </t>
  </si>
  <si>
    <t xml:space="preserve">schlechte Genauigkeit</t>
  </si>
  <si>
    <t xml:space="preserve">geringe Genauigkeit</t>
  </si>
  <si>
    <t xml:space="preserve">mittlere Genauigkeit</t>
  </si>
  <si>
    <t xml:space="preserve">hohe Genauigkeit</t>
  </si>
  <si>
    <t xml:space="preserve">sehr störanfällig</t>
  </si>
  <si>
    <t xml:space="preserve">störanfällig</t>
  </si>
  <si>
    <t xml:space="preserve">mässig störanfällig</t>
  </si>
  <si>
    <t xml:space="preserve">sehr langsam / 
keine sinnvolle Strategie</t>
  </si>
  <si>
    <t xml:space="preserve">langsam / 
schwache Strategie</t>
  </si>
  <si>
    <t xml:space="preserve">mittel / 
teilweise sinnvolle Strategie</t>
  </si>
  <si>
    <t xml:space="preserve">schnell / 
gute Strategie</t>
  </si>
  <si>
    <t xml:space="preserve">sehr schnell / 
sehr gute Strategie</t>
  </si>
  <si>
    <t xml:space="preserve">kaum modular</t>
  </si>
  <si>
    <t xml:space="preserve">wenig modular</t>
  </si>
  <si>
    <t xml:space="preserve">modular</t>
  </si>
  <si>
    <t xml:space="preserve">sehr schlecht</t>
  </si>
  <si>
    <t xml:space="preserve">schlecht</t>
  </si>
  <si>
    <t xml:space="preserve">sehr gut</t>
  </si>
  <si>
    <t xml:space="preserve">Gew.</t>
  </si>
  <si>
    <t xml:space="preserve">ungew</t>
  </si>
  <si>
    <t xml:space="preserve">gew</t>
  </si>
  <si>
    <t xml:space="preserve">Gew. Maximalwert</t>
  </si>
  <si>
    <t xml:space="preserve">Nutzwert</t>
  </si>
  <si>
    <t xml:space="preserve">Rangfolge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</si>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</sst>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0"/>
  </numFmts>
  <fonts count="1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B05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C1F0C8"/>
      </patternFill>
    </fill>
    <fill>
      <patternFill patternType="solid">
        <fgColor rgb="FFC1F0C8"/>
        <bgColor rgb="FFCCFFFF"/>
      </patternFill>
    </fill>
    <fill>
      <patternFill patternType="solid">
        <fgColor rgb="FFF7C7AC"/>
        <bgColor rgb="FFD9D9D9"/>
      </patternFill>
    </fill>
    <fill>
      <patternFill patternType="solid">
        <fgColor rgb="FF94DCF8"/>
        <bgColor rgb="FFC1F0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1F0C8"/>
      <rgbColor rgb="FFFFFF99"/>
      <rgbColor rgb="FF94DCF8"/>
      <rgbColor rgb="FFFF99CC"/>
      <rgbColor rgb="FFCC99FF"/>
      <rgbColor rgb="FFF7C7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J1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E7" activeCellId="0" sqref="E7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3" min="3" style="0" width="40.5"/>
    <col collapsed="false" customWidth="true" hidden="false" outlineLevel="0" max="9" min="4" style="0" width="6"/>
    <col collapsed="false" customWidth="true" hidden="false" outlineLevel="0" max="26" min="13" style="0" width="3"/>
  </cols>
  <sheetData>
    <row r="6" customFormat="false" ht="244.5" hidden="false" customHeight="true" outlineLevel="0" collapsed="false">
      <c r="C6" s="1" t="s">
        <v>0</v>
      </c>
      <c r="D6" s="2" t="str">
        <f aca="false">C7</f>
        <v>Einfache Konstruktion</v>
      </c>
      <c r="E6" s="2" t="str">
        <f aca="false">C8</f>
        <v>Zielsicherheit / Ablagegenauigkeit</v>
      </c>
      <c r="F6" s="2" t="str">
        <f aca="false">C9</f>
        <v>Betriebssicherheit (störungsfrei)</v>
      </c>
      <c r="G6" s="2" t="s">
        <v>1</v>
      </c>
      <c r="H6" s="2" t="str">
        <f aca="false">C11</f>
        <v>Modularer Aufbau </v>
      </c>
      <c r="I6" s="2" t="str">
        <f aca="false">C12</f>
        <v>Wendigkeit des Roboters</v>
      </c>
    </row>
    <row r="7" customFormat="false" ht="15.75" hidden="false" customHeight="true" outlineLevel="0" collapsed="false">
      <c r="C7" s="0" t="s">
        <v>2</v>
      </c>
      <c r="D7" s="3" t="n">
        <v>1</v>
      </c>
      <c r="E7" s="4" t="n">
        <v>2</v>
      </c>
      <c r="F7" s="4" t="n">
        <v>2</v>
      </c>
      <c r="G7" s="4" t="n">
        <v>1</v>
      </c>
      <c r="H7" s="4" t="n">
        <v>0</v>
      </c>
      <c r="I7" s="4" t="n">
        <v>1</v>
      </c>
      <c r="J7" s="0" t="s">
        <v>3</v>
      </c>
    </row>
    <row r="8" customFormat="false" ht="15.75" hidden="false" customHeight="true" outlineLevel="0" collapsed="false">
      <c r="C8" s="0" t="s">
        <v>4</v>
      </c>
      <c r="D8" s="4" t="n">
        <v>0</v>
      </c>
      <c r="E8" s="3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0" t="s">
        <v>5</v>
      </c>
    </row>
    <row r="9" customFormat="false" ht="15.75" hidden="false" customHeight="true" outlineLevel="0" collapsed="false">
      <c r="C9" s="0" t="s">
        <v>6</v>
      </c>
      <c r="D9" s="4" t="n">
        <v>0</v>
      </c>
      <c r="E9" s="4" t="n">
        <v>1</v>
      </c>
      <c r="F9" s="3" t="n">
        <v>1</v>
      </c>
      <c r="G9" s="4" t="n">
        <v>0</v>
      </c>
      <c r="H9" s="4" t="n">
        <v>0</v>
      </c>
      <c r="I9" s="4" t="n">
        <v>0</v>
      </c>
      <c r="J9" s="0" t="s">
        <v>7</v>
      </c>
    </row>
    <row r="10" customFormat="false" ht="15.75" hidden="false" customHeight="true" outlineLevel="0" collapsed="false">
      <c r="C10" s="0" t="s">
        <v>1</v>
      </c>
      <c r="D10" s="4" t="n">
        <v>1</v>
      </c>
      <c r="E10" s="4" t="n">
        <v>2</v>
      </c>
      <c r="F10" s="4" t="n">
        <v>2</v>
      </c>
      <c r="G10" s="3" t="n">
        <v>1</v>
      </c>
      <c r="H10" s="4" t="n">
        <v>1</v>
      </c>
      <c r="I10" s="4" t="n">
        <v>1</v>
      </c>
    </row>
    <row r="11" customFormat="false" ht="15.75" hidden="false" customHeight="true" outlineLevel="0" collapsed="false">
      <c r="C11" s="0" t="s">
        <v>8</v>
      </c>
      <c r="D11" s="4" t="n">
        <v>2</v>
      </c>
      <c r="E11" s="4" t="n">
        <v>2</v>
      </c>
      <c r="F11" s="4" t="n">
        <v>2</v>
      </c>
      <c r="G11" s="4" t="n">
        <v>1</v>
      </c>
      <c r="H11" s="3" t="n">
        <v>1</v>
      </c>
      <c r="I11" s="4" t="n">
        <v>1</v>
      </c>
    </row>
    <row r="12" customFormat="false" ht="15.75" hidden="false" customHeight="true" outlineLevel="0" collapsed="false">
      <c r="C12" s="0" t="s">
        <v>9</v>
      </c>
      <c r="D12" s="4" t="n">
        <v>1</v>
      </c>
      <c r="E12" s="4" t="n">
        <v>2</v>
      </c>
      <c r="F12" s="4" t="n">
        <v>2</v>
      </c>
      <c r="G12" s="4" t="n">
        <v>1</v>
      </c>
      <c r="H12" s="4" t="n">
        <v>1</v>
      </c>
      <c r="I12" s="3" t="n">
        <v>1</v>
      </c>
    </row>
    <row r="13" customFormat="false" ht="15.75" hidden="false" customHeight="true" outlineLevel="0" collapsed="false">
      <c r="C13" s="5"/>
    </row>
    <row r="14" customFormat="false" ht="15.75" hidden="false" customHeight="true" outlineLevel="0" collapsed="false">
      <c r="C14" s="6" t="s">
        <v>10</v>
      </c>
      <c r="D14" s="4" t="n">
        <f aca="false">SUM(D7:D12)</f>
        <v>5</v>
      </c>
      <c r="E14" s="4" t="n">
        <f aca="false">SUM(E7:E12)</f>
        <v>10</v>
      </c>
      <c r="F14" s="4" t="n">
        <f aca="false">SUM(F7:F12)</f>
        <v>10</v>
      </c>
      <c r="G14" s="4" t="n">
        <f aca="false">SUM(G7:G12)</f>
        <v>4</v>
      </c>
      <c r="H14" s="4" t="n">
        <f aca="false">SUM(H7:H12)</f>
        <v>3</v>
      </c>
      <c r="I14" s="4" t="n">
        <f aca="false">SUM(I7:I12)</f>
        <v>4</v>
      </c>
    </row>
    <row r="15" customFormat="false" ht="15.75" hidden="false" customHeight="true" outlineLevel="0" collapsed="false">
      <c r="C15" s="7" t="s">
        <v>11</v>
      </c>
      <c r="D15" s="8" t="n">
        <f aca="false">D14/11</f>
        <v>0.454545454545455</v>
      </c>
      <c r="E15" s="8" t="n">
        <f aca="false">E14/11</f>
        <v>0.909090909090909</v>
      </c>
      <c r="F15" s="8" t="n">
        <f aca="false">F14/11</f>
        <v>0.909090909090909</v>
      </c>
      <c r="G15" s="8" t="n">
        <f aca="false">G14/11</f>
        <v>0.363636363636364</v>
      </c>
      <c r="H15" s="8" t="n">
        <f aca="false">H14/11</f>
        <v>0.272727272727273</v>
      </c>
      <c r="I15" s="8" t="n">
        <f aca="false">I14/11</f>
        <v>0.363636363636364</v>
      </c>
    </row>
  </sheetData>
  <printOptions headings="false" gridLines="false" gridLinesSet="true" horizontalCentered="false" verticalCentered="false"/>
  <pageMargins left="0.7" right="0.7" top="0.7875" bottom="0.78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&amp;C&amp;"Calibri,Bold"&amp;18Paarvergleich Kriterien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39.5"/>
    <col collapsed="false" customWidth="true" hidden="false" outlineLevel="0" max="5" min="3" style="0" width="30.08"/>
  </cols>
  <sheetData>
    <row r="5" customFormat="false" ht="141" hidden="false" customHeight="true" outlineLevel="0" collapsed="false">
      <c r="C5" s="9" t="s">
        <v>12</v>
      </c>
      <c r="D5" s="10" t="s">
        <v>13</v>
      </c>
      <c r="E5" s="11" t="s">
        <v>14</v>
      </c>
    </row>
    <row r="6" customFormat="false" ht="15.75" hidden="false" customHeight="true" outlineLevel="0" collapsed="false">
      <c r="B6" s="6" t="str">
        <f aca="false">'Paarvergleich Kriterien'!C7</f>
        <v>Einfache Konstruktion</v>
      </c>
      <c r="C6" s="12" t="s">
        <v>15</v>
      </c>
      <c r="D6" s="12" t="s">
        <v>16</v>
      </c>
      <c r="E6" s="12" t="s">
        <v>17</v>
      </c>
    </row>
    <row r="7" customFormat="false" ht="15.75" hidden="false" customHeight="true" outlineLevel="0" collapsed="false">
      <c r="B7" s="6" t="str">
        <f aca="false">'Paarvergleich Kriterien'!C8</f>
        <v>Zielsicherheit / Ablagegenauigkeit</v>
      </c>
      <c r="C7" s="12" t="s">
        <v>18</v>
      </c>
      <c r="D7" s="12" t="s">
        <v>18</v>
      </c>
      <c r="E7" s="12" t="s">
        <v>18</v>
      </c>
    </row>
    <row r="8" customFormat="false" ht="15.75" hidden="false" customHeight="true" outlineLevel="0" collapsed="false">
      <c r="B8" s="6" t="str">
        <f aca="false">'Paarvergleich Kriterien'!C9</f>
        <v>Betriebssicherheit (störungsfrei)</v>
      </c>
      <c r="C8" s="12" t="s">
        <v>19</v>
      </c>
      <c r="D8" s="12" t="s">
        <v>20</v>
      </c>
      <c r="E8" s="12" t="s">
        <v>20</v>
      </c>
    </row>
    <row r="9" customFormat="false" ht="15.75" hidden="false" customHeight="true" outlineLevel="0" collapsed="false">
      <c r="B9" s="6" t="str">
        <f aca="false">'Paarvergleich Kriterien'!C10</f>
        <v>Geschwindigkeit / Strategie </v>
      </c>
      <c r="C9" s="12" t="s">
        <v>21</v>
      </c>
      <c r="D9" s="12" t="s">
        <v>22</v>
      </c>
      <c r="E9" s="12" t="s">
        <v>23</v>
      </c>
    </row>
    <row r="10" customFormat="false" ht="15.75" hidden="false" customHeight="true" outlineLevel="0" collapsed="false">
      <c r="B10" s="6" t="str">
        <f aca="false">'Paarvergleich Kriterien'!C11</f>
        <v>Modularer Aufbau </v>
      </c>
      <c r="C10" s="13" t="s">
        <v>24</v>
      </c>
      <c r="D10" s="13" t="s">
        <v>25</v>
      </c>
      <c r="E10" s="13" t="s">
        <v>25</v>
      </c>
    </row>
    <row r="11" customFormat="false" ht="15.75" hidden="false" customHeight="true" outlineLevel="0" collapsed="false">
      <c r="B11" s="6" t="str">
        <f aca="false">'Paarvergleich Kriterien'!C12</f>
        <v>Wendigkeit des Roboters</v>
      </c>
      <c r="C11" s="12" t="s">
        <v>26</v>
      </c>
      <c r="D11" s="12" t="s">
        <v>26</v>
      </c>
      <c r="E11" s="12" t="s">
        <v>27</v>
      </c>
    </row>
  </sheetData>
  <printOptions headings="false" gridLines="false" gridLinesSet="true" horizontalCentered="false" verticalCentered="false"/>
  <pageMargins left="0.7" right="0.7" top="0.7875" bottom="0.7875" header="0.3" footer="0.511811023622047"/>
  <pageSetup paperSize="9" scale="93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&amp;C&amp;"Calibri,Bold"&amp;18Eigenschaften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8.92"/>
    <col collapsed="false" customWidth="true" hidden="false" outlineLevel="0" max="2" min="2" style="0" width="32"/>
    <col collapsed="false" customWidth="true" hidden="false" outlineLevel="0" max="3" min="3" style="14" width="21.66"/>
    <col collapsed="false" customWidth="true" hidden="false" outlineLevel="0" max="4" min="4" style="14" width="17.5"/>
    <col collapsed="false" customWidth="true" hidden="false" outlineLevel="0" max="5" min="5" style="14" width="24.84"/>
    <col collapsed="false" customWidth="true" hidden="false" outlineLevel="0" max="6" min="6" style="14" width="15.92"/>
    <col collapsed="false" customWidth="true" hidden="false" outlineLevel="0" max="7" min="7" style="14" width="18.16"/>
  </cols>
  <sheetData>
    <row r="1" customFormat="false" ht="93" hidden="false" customHeight="true" outlineLevel="0" collapsed="false">
      <c r="B1" s="15" t="s">
        <v>28</v>
      </c>
    </row>
    <row r="2" customFormat="false" ht="15" hidden="false" customHeight="false" outlineLevel="0" collapsed="false">
      <c r="B2" s="15"/>
    </row>
    <row r="4" customFormat="false" ht="15" hidden="false" customHeight="false" outlineLevel="0" collapsed="false">
      <c r="C4" s="16" t="n">
        <v>0</v>
      </c>
      <c r="D4" s="16" t="n">
        <v>1</v>
      </c>
      <c r="E4" s="16" t="n">
        <v>2</v>
      </c>
      <c r="F4" s="16" t="n">
        <v>3</v>
      </c>
      <c r="G4" s="16" t="n">
        <v>4</v>
      </c>
    </row>
    <row r="5" customFormat="false" ht="15.75" hidden="false" customHeight="true" outlineLevel="0" collapsed="false">
      <c r="B5" s="6" t="str">
        <f aca="false">'Paarvergleich Kriterien'!C7</f>
        <v>Einfache Konstruktion</v>
      </c>
      <c r="C5" s="12" t="s">
        <v>29</v>
      </c>
      <c r="D5" s="12" t="s">
        <v>17</v>
      </c>
      <c r="E5" s="12" t="s">
        <v>16</v>
      </c>
      <c r="F5" s="12" t="s">
        <v>30</v>
      </c>
      <c r="G5" s="12" t="s">
        <v>31</v>
      </c>
    </row>
    <row r="6" customFormat="false" ht="15.75" hidden="false" customHeight="true" outlineLevel="0" collapsed="false">
      <c r="B6" s="6" t="str">
        <f aca="false">'Paarvergleich Kriterien'!C8</f>
        <v>Zielsicherheit / Ablagegenauigkeit</v>
      </c>
      <c r="C6" s="12" t="s">
        <v>32</v>
      </c>
      <c r="D6" s="12" t="s">
        <v>33</v>
      </c>
      <c r="E6" s="12" t="s">
        <v>34</v>
      </c>
      <c r="F6" s="12" t="s">
        <v>18</v>
      </c>
      <c r="G6" s="12" t="s">
        <v>35</v>
      </c>
    </row>
    <row r="7" customFormat="false" ht="15.75" hidden="false" customHeight="true" outlineLevel="0" collapsed="false">
      <c r="B7" s="6" t="str">
        <f aca="false">'Paarvergleich Kriterien'!C9</f>
        <v>Betriebssicherheit (störungsfrei)</v>
      </c>
      <c r="C7" s="4" t="s">
        <v>36</v>
      </c>
      <c r="D7" s="4" t="s">
        <v>37</v>
      </c>
      <c r="E7" s="4" t="s">
        <v>38</v>
      </c>
      <c r="F7" s="4" t="s">
        <v>20</v>
      </c>
      <c r="G7" s="4" t="s">
        <v>19</v>
      </c>
    </row>
    <row r="8" customFormat="false" ht="33" hidden="false" customHeight="true" outlineLevel="0" collapsed="false">
      <c r="B8" s="6" t="str">
        <f aca="false">'Paarvergleich Kriterien'!C10</f>
        <v>Geschwindigkeit / Strategie </v>
      </c>
      <c r="C8" s="17" t="s">
        <v>39</v>
      </c>
      <c r="D8" s="17" t="s">
        <v>40</v>
      </c>
      <c r="E8" s="17" t="s">
        <v>41</v>
      </c>
      <c r="F8" s="17" t="s">
        <v>42</v>
      </c>
      <c r="G8" s="17" t="s">
        <v>43</v>
      </c>
    </row>
    <row r="9" customFormat="false" ht="15.75" hidden="false" customHeight="true" outlineLevel="0" collapsed="false">
      <c r="B9" s="6" t="str">
        <f aca="false">'Paarvergleich Kriterien'!C11</f>
        <v>Modularer Aufbau </v>
      </c>
      <c r="C9" s="4" t="s">
        <v>44</v>
      </c>
      <c r="D9" s="4" t="s">
        <v>45</v>
      </c>
      <c r="E9" s="4" t="s">
        <v>25</v>
      </c>
      <c r="F9" s="4" t="s">
        <v>46</v>
      </c>
      <c r="G9" s="4" t="s">
        <v>24</v>
      </c>
    </row>
    <row r="10" customFormat="false" ht="15.75" hidden="false" customHeight="true" outlineLevel="0" collapsed="false">
      <c r="B10" s="6" t="str">
        <f aca="false">'Paarvergleich Kriterien'!C12</f>
        <v>Wendigkeit des Roboters</v>
      </c>
      <c r="C10" s="4" t="s">
        <v>47</v>
      </c>
      <c r="D10" s="12" t="s">
        <v>48</v>
      </c>
      <c r="E10" s="12" t="s">
        <v>26</v>
      </c>
      <c r="F10" s="12" t="s">
        <v>27</v>
      </c>
      <c r="G10" s="12" t="s">
        <v>49</v>
      </c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18"/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5"/>
    </row>
    <row r="20" customFormat="false" ht="15" hidden="false" customHeight="false" outlineLevel="0" collapsed="false">
      <c r="B20" s="5"/>
      <c r="C20" s="19"/>
      <c r="D20" s="19"/>
      <c r="E20" s="19"/>
      <c r="F20" s="19"/>
      <c r="G20" s="19"/>
    </row>
    <row r="21" customFormat="false" ht="15" hidden="false" customHeight="false" outlineLevel="0" collapsed="false">
      <c r="B21" s="5"/>
    </row>
  </sheetData>
  <mergeCells count="1">
    <mergeCell ref="B1:B2"/>
  </mergeCells>
  <printOptions headings="false" gridLines="false" gridLinesSet="true" horizontalCentered="false" verticalCentered="false"/>
  <pageMargins left="0.7" right="0.7" top="0.7875" bottom="0.7875" header="0.3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&amp;C&amp;"Calibri,Bold"&amp;18Werteskala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1"/>
    <col collapsed="false" customWidth="true" hidden="false" outlineLevel="0" max="5" min="3" style="0" width="29.08"/>
  </cols>
  <sheetData>
    <row r="5" customFormat="false" ht="141" hidden="false" customHeight="true" outlineLevel="0" collapsed="false">
      <c r="C5" s="0" t="s">
        <v>12</v>
      </c>
      <c r="D5" s="0" t="s">
        <v>13</v>
      </c>
      <c r="E5" s="0" t="s">
        <v>14</v>
      </c>
    </row>
    <row r="6" customFormat="false" ht="15.75" hidden="false" customHeight="true" outlineLevel="0" collapsed="false">
      <c r="B6" s="6" t="str">
        <f aca="false">'Paarvergleich Kriterien'!C7</f>
        <v>Einfache Konstruktion</v>
      </c>
      <c r="C6" s="4" t="n">
        <v>3</v>
      </c>
      <c r="D6" s="4" t="n">
        <v>2</v>
      </c>
      <c r="E6" s="4" t="n">
        <v>1</v>
      </c>
    </row>
    <row r="7" customFormat="false" ht="15.75" hidden="false" customHeight="true" outlineLevel="0" collapsed="false">
      <c r="B7" s="6" t="str">
        <f aca="false">'Paarvergleich Kriterien'!C8</f>
        <v>Zielsicherheit / Ablagegenauigkeit</v>
      </c>
      <c r="C7" s="4" t="n">
        <v>3</v>
      </c>
      <c r="D7" s="4" t="n">
        <v>3</v>
      </c>
      <c r="E7" s="4" t="n">
        <v>3</v>
      </c>
    </row>
    <row r="8" customFormat="false" ht="15.75" hidden="false" customHeight="true" outlineLevel="0" collapsed="false">
      <c r="B8" s="6" t="str">
        <f aca="false">'Paarvergleich Kriterien'!C9</f>
        <v>Betriebssicherheit (störungsfrei)</v>
      </c>
      <c r="C8" s="4" t="n">
        <v>4</v>
      </c>
      <c r="D8" s="4" t="n">
        <v>3</v>
      </c>
      <c r="E8" s="4" t="n">
        <v>3</v>
      </c>
    </row>
    <row r="9" customFormat="false" ht="15.75" hidden="false" customHeight="true" outlineLevel="0" collapsed="false">
      <c r="B9" s="6" t="str">
        <f aca="false">'Paarvergleich Kriterien'!C10</f>
        <v>Geschwindigkeit / Strategie </v>
      </c>
      <c r="C9" s="4" t="n">
        <v>2</v>
      </c>
      <c r="D9" s="4" t="n">
        <v>1</v>
      </c>
      <c r="E9" s="4" t="n">
        <v>3</v>
      </c>
    </row>
    <row r="10" customFormat="false" ht="15.75" hidden="false" customHeight="true" outlineLevel="0" collapsed="false">
      <c r="B10" s="6" t="str">
        <f aca="false">'Paarvergleich Kriterien'!C11</f>
        <v>Modularer Aufbau </v>
      </c>
      <c r="C10" s="4" t="n">
        <v>4</v>
      </c>
      <c r="D10" s="4" t="n">
        <v>2</v>
      </c>
      <c r="E10" s="4" t="n">
        <v>2</v>
      </c>
    </row>
    <row r="11" customFormat="false" ht="15.75" hidden="false" customHeight="true" outlineLevel="0" collapsed="false">
      <c r="B11" s="6" t="str">
        <f aca="false">'Paarvergleich Kriterien'!C12</f>
        <v>Wendigkeit des Roboters</v>
      </c>
      <c r="C11" s="4" t="n">
        <v>2</v>
      </c>
      <c r="D11" s="4" t="n">
        <v>2</v>
      </c>
      <c r="E11" s="4" t="n">
        <v>3</v>
      </c>
    </row>
  </sheetData>
  <printOptions headings="false" gridLines="false" gridLinesSet="true" horizontalCentered="false" verticalCentered="false"/>
  <pageMargins left="0.7" right="0.7" top="0.7875" bottom="0.7875" header="0.3" footer="0.511811023622047"/>
  <pageSetup paperSize="9" scale="84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&amp;C&amp;"Calibri,Bold"&amp;18Bewertung Eigenschaften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2.92"/>
    <col collapsed="false" customWidth="true" hidden="false" outlineLevel="0" max="3" min="3" style="0" width="37.42"/>
    <col collapsed="false" customWidth="true" hidden="false" outlineLevel="0" max="9" min="4" style="0" width="10"/>
    <col collapsed="false" customWidth="true" hidden="false" outlineLevel="0" max="10" min="10" style="0" width="3.92"/>
    <col collapsed="false" customWidth="true" hidden="false" outlineLevel="0" max="11" min="11" style="0" width="11.42"/>
    <col collapsed="false" customWidth="true" hidden="false" outlineLevel="0" max="12" min="12" style="0" width="12.42"/>
  </cols>
  <sheetData>
    <row r="5" customFormat="false" ht="141" hidden="false" customHeight="true" outlineLevel="0" collapsed="false">
      <c r="D5" s="20" t="s">
        <v>12</v>
      </c>
      <c r="E5" s="20"/>
      <c r="F5" s="20" t="s">
        <v>13</v>
      </c>
      <c r="G5" s="20"/>
      <c r="H5" s="20" t="s">
        <v>14</v>
      </c>
      <c r="I5" s="20"/>
    </row>
    <row r="6" customFormat="false" ht="15.75" hidden="false" customHeight="true" outlineLevel="0" collapsed="false">
      <c r="B6" s="21" t="s">
        <v>50</v>
      </c>
      <c r="C6" s="4"/>
      <c r="D6" s="22" t="s">
        <v>51</v>
      </c>
      <c r="E6" s="22" t="s">
        <v>52</v>
      </c>
      <c r="F6" s="22" t="s">
        <v>51</v>
      </c>
      <c r="G6" s="22" t="s">
        <v>52</v>
      </c>
      <c r="H6" s="22" t="s">
        <v>51</v>
      </c>
      <c r="I6" s="22" t="s">
        <v>52</v>
      </c>
      <c r="K6" s="23" t="s">
        <v>53</v>
      </c>
    </row>
    <row r="7" customFormat="false" ht="15.75" hidden="false" customHeight="true" outlineLevel="0" collapsed="false">
      <c r="B7" s="24" t="n">
        <f aca="false">'Paarvergleich Kriterien'!D15</f>
        <v>0.454545454545455</v>
      </c>
      <c r="C7" s="6" t="str">
        <f aca="false">'Paarvergleich Kriterien'!C7</f>
        <v>Einfache Konstruktion</v>
      </c>
      <c r="D7" s="22" t="n">
        <f aca="false">'Bewertung Eigenschaften'!C6</f>
        <v>3</v>
      </c>
      <c r="E7" s="25" t="n">
        <f aca="false">D7*$B7</f>
        <v>1.36363636363636</v>
      </c>
      <c r="F7" s="22" t="n">
        <f aca="false">'Bewertung Eigenschaften'!D6</f>
        <v>2</v>
      </c>
      <c r="G7" s="25" t="n">
        <f aca="false">F7*$B7</f>
        <v>0.909090909090909</v>
      </c>
      <c r="H7" s="22" t="n">
        <f aca="false">'Bewertung Eigenschaften'!E6</f>
        <v>1</v>
      </c>
      <c r="I7" s="25" t="n">
        <f aca="false">H7*$B7</f>
        <v>0.454545454545455</v>
      </c>
      <c r="K7" s="26" t="n">
        <f aca="false">4*$B7</f>
        <v>1.81818181818182</v>
      </c>
    </row>
    <row r="8" customFormat="false" ht="15.75" hidden="false" customHeight="true" outlineLevel="0" collapsed="false">
      <c r="B8" s="24" t="n">
        <f aca="false">'Paarvergleich Kriterien'!E15</f>
        <v>0.909090909090909</v>
      </c>
      <c r="C8" s="6" t="str">
        <f aca="false">'Paarvergleich Kriterien'!C8</f>
        <v>Zielsicherheit / Ablagegenauigkeit</v>
      </c>
      <c r="D8" s="22" t="n">
        <f aca="false">'Bewertung Eigenschaften'!C7</f>
        <v>3</v>
      </c>
      <c r="E8" s="25" t="n">
        <f aca="false">D8*$B8</f>
        <v>2.72727272727273</v>
      </c>
      <c r="F8" s="22" t="n">
        <f aca="false">'Bewertung Eigenschaften'!D7</f>
        <v>3</v>
      </c>
      <c r="G8" s="25" t="n">
        <f aca="false">F8*$B8</f>
        <v>2.72727272727273</v>
      </c>
      <c r="H8" s="22" t="n">
        <f aca="false">'Bewertung Eigenschaften'!E7</f>
        <v>3</v>
      </c>
      <c r="I8" s="25" t="n">
        <f aca="false">H8*$B8</f>
        <v>2.72727272727273</v>
      </c>
      <c r="K8" s="26" t="n">
        <f aca="false">4*$B8</f>
        <v>3.63636363636364</v>
      </c>
    </row>
    <row r="9" customFormat="false" ht="15.75" hidden="false" customHeight="true" outlineLevel="0" collapsed="false">
      <c r="B9" s="24" t="n">
        <f aca="false">'Paarvergleich Kriterien'!F15</f>
        <v>0.909090909090909</v>
      </c>
      <c r="C9" s="6" t="str">
        <f aca="false">'Paarvergleich Kriterien'!C9</f>
        <v>Betriebssicherheit (störungsfrei)</v>
      </c>
      <c r="D9" s="22" t="n">
        <f aca="false">'Bewertung Eigenschaften'!C8</f>
        <v>4</v>
      </c>
      <c r="E9" s="25" t="n">
        <f aca="false">D9*$B9</f>
        <v>3.63636363636364</v>
      </c>
      <c r="F9" s="22" t="n">
        <f aca="false">'Bewertung Eigenschaften'!D8</f>
        <v>3</v>
      </c>
      <c r="G9" s="25" t="n">
        <f aca="false">F9*$B9</f>
        <v>2.72727272727273</v>
      </c>
      <c r="H9" s="22" t="n">
        <f aca="false">'Bewertung Eigenschaften'!E8</f>
        <v>3</v>
      </c>
      <c r="I9" s="25" t="n">
        <f aca="false">H9*$B9</f>
        <v>2.72727272727273</v>
      </c>
      <c r="K9" s="26" t="n">
        <f aca="false">4*$B9</f>
        <v>3.63636363636364</v>
      </c>
    </row>
    <row r="10" customFormat="false" ht="15.75" hidden="false" customHeight="true" outlineLevel="0" collapsed="false">
      <c r="B10" s="24" t="n">
        <f aca="false">'Paarvergleich Kriterien'!G15</f>
        <v>0.363636363636364</v>
      </c>
      <c r="C10" s="6" t="str">
        <f aca="false">'Paarvergleich Kriterien'!C10</f>
        <v>Geschwindigkeit / Strategie </v>
      </c>
      <c r="D10" s="22" t="n">
        <f aca="false">'Bewertung Eigenschaften'!C9</f>
        <v>2</v>
      </c>
      <c r="E10" s="25" t="n">
        <f aca="false">D10*$B10</f>
        <v>0.727272727272727</v>
      </c>
      <c r="F10" s="22" t="n">
        <f aca="false">'Bewertung Eigenschaften'!D9</f>
        <v>1</v>
      </c>
      <c r="G10" s="25" t="n">
        <f aca="false">F10*$B10</f>
        <v>0.363636363636364</v>
      </c>
      <c r="H10" s="22" t="n">
        <f aca="false">'Bewertung Eigenschaften'!E9</f>
        <v>3</v>
      </c>
      <c r="I10" s="25" t="n">
        <f aca="false">H10*$B10</f>
        <v>1.09090909090909</v>
      </c>
      <c r="K10" s="26" t="n">
        <f aca="false">4*$B10</f>
        <v>1.45454545454545</v>
      </c>
    </row>
    <row r="11" customFormat="false" ht="15.75" hidden="false" customHeight="true" outlineLevel="0" collapsed="false">
      <c r="B11" s="24" t="n">
        <f aca="false">'Paarvergleich Kriterien'!H15</f>
        <v>0.272727272727273</v>
      </c>
      <c r="C11" s="6" t="str">
        <f aca="false">'Paarvergleich Kriterien'!C11</f>
        <v>Modularer Aufbau </v>
      </c>
      <c r="D11" s="22" t="n">
        <f aca="false">'Bewertung Eigenschaften'!C10</f>
        <v>4</v>
      </c>
      <c r="E11" s="25" t="n">
        <f aca="false">D11*$B11</f>
        <v>1.09090909090909</v>
      </c>
      <c r="F11" s="22" t="n">
        <f aca="false">'Bewertung Eigenschaften'!D10</f>
        <v>2</v>
      </c>
      <c r="G11" s="25" t="n">
        <f aca="false">F11*$B11</f>
        <v>0.545454545454545</v>
      </c>
      <c r="H11" s="22" t="n">
        <f aca="false">'Bewertung Eigenschaften'!E10</f>
        <v>2</v>
      </c>
      <c r="I11" s="25" t="n">
        <f aca="false">H11*$B11</f>
        <v>0.545454545454545</v>
      </c>
      <c r="K11" s="26" t="n">
        <f aca="false">4*$B11</f>
        <v>1.09090909090909</v>
      </c>
    </row>
    <row r="12" customFormat="false" ht="15.75" hidden="false" customHeight="true" outlineLevel="0" collapsed="false">
      <c r="B12" s="24" t="n">
        <f aca="false">'Paarvergleich Kriterien'!I15</f>
        <v>0.363636363636364</v>
      </c>
      <c r="C12" s="6" t="str">
        <f aca="false">'Paarvergleich Kriterien'!C12</f>
        <v>Wendigkeit des Roboters</v>
      </c>
      <c r="D12" s="22" t="n">
        <f aca="false">'Bewertung Eigenschaften'!C11</f>
        <v>2</v>
      </c>
      <c r="E12" s="25" t="n">
        <f aca="false">D12*$B12</f>
        <v>0.727272727272727</v>
      </c>
      <c r="F12" s="22" t="n">
        <f aca="false">'Bewertung Eigenschaften'!D11</f>
        <v>2</v>
      </c>
      <c r="G12" s="25" t="n">
        <f aca="false">F12*$B12</f>
        <v>0.727272727272727</v>
      </c>
      <c r="H12" s="22" t="n">
        <f aca="false">'Bewertung Eigenschaften'!E11</f>
        <v>3</v>
      </c>
      <c r="I12" s="25" t="n">
        <f aca="false">H12*$B12</f>
        <v>1.09090909090909</v>
      </c>
      <c r="K12" s="26" t="n">
        <f aca="false">4*$B12</f>
        <v>1.45454545454545</v>
      </c>
    </row>
    <row r="14" customFormat="false" ht="15" hidden="false" customHeight="false" outlineLevel="0" collapsed="false">
      <c r="C14" s="27" t="s">
        <v>54</v>
      </c>
      <c r="D14" s="28" t="n">
        <f aca="false">SUM(D7:D12)/(4*6)</f>
        <v>0.75</v>
      </c>
      <c r="E14" s="25" t="n">
        <f aca="false">SUM(E7:E12)/$K14</f>
        <v>0.784722222222222</v>
      </c>
      <c r="F14" s="28" t="n">
        <f aca="false">SUM(F7:F12)/(4*6)</f>
        <v>0.541666666666667</v>
      </c>
      <c r="G14" s="25" t="n">
        <f aca="false">SUM(G7:G12)/$K14</f>
        <v>0.611111111111111</v>
      </c>
      <c r="H14" s="28" t="n">
        <f aca="false">SUM(H7:H12)/(4*6)</f>
        <v>0.625</v>
      </c>
      <c r="I14" s="25" t="n">
        <f aca="false">SUM(I7:I12)/$K14</f>
        <v>0.659722222222222</v>
      </c>
      <c r="K14" s="29" t="n">
        <f aca="false">SUM(K7:K12)</f>
        <v>13.0909090909091</v>
      </c>
    </row>
    <row r="15" customFormat="false" ht="15" hidden="false" customHeight="false" outlineLevel="0" collapsed="false">
      <c r="C15" s="27" t="s">
        <v>55</v>
      </c>
      <c r="D15" s="30" t="n">
        <v>1</v>
      </c>
      <c r="E15" s="31" t="n">
        <v>1</v>
      </c>
      <c r="F15" s="32" t="n">
        <v>3</v>
      </c>
      <c r="G15" s="22" t="n">
        <v>3</v>
      </c>
      <c r="H15" s="32" t="n">
        <v>2</v>
      </c>
      <c r="I15" s="22" t="n">
        <v>2</v>
      </c>
    </row>
    <row r="51" customFormat="false" ht="15" hidden="false" customHeight="false" outlineLevel="0" collapsed="false">
      <c r="T51" s="0" t="s">
        <v>56</v>
      </c>
    </row>
  </sheetData>
  <mergeCells count="3">
    <mergeCell ref="D5:E5"/>
    <mergeCell ref="F5:G5"/>
    <mergeCell ref="H5:I5"/>
  </mergeCells>
  <printOptions headings="false" gridLines="false" gridLinesSet="true" horizontalCentered="false" verticalCentered="false"/>
  <pageMargins left="0.7" right="0.7" top="0.7875" bottom="0.7875" header="0.3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&amp;C&amp;"Calibri,Bold"&amp;18Nutzwert</oddHeader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49767899022646ADCD8372B4AFDD77" ma:contentTypeVersion="3" ma:contentTypeDescription="Ein neues Dokument erstellen." ma:contentTypeScope="" ma:versionID="52dfa371bc222f35ed99d56e727d4f3c">
  <xsd:schema xmlns:xsd="http://www.w3.org/2001/XMLSchema" xmlns:xs="http://www.w3.org/2001/XMLSchema" xmlns:p="http://schemas.microsoft.com/office/2006/metadata/properties" xmlns:ns2="e8c0b0b4-a352-4ab5-8d9a-9b050095665e" targetNamespace="http://schemas.microsoft.com/office/2006/metadata/properties" ma:root="true" ma:fieldsID="3f1c2f473d33a4499a8f2166cddfd851" ns2:_="">
    <xsd:import namespace="e8c0b0b4-a352-4ab5-8d9a-9b0500956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0b0b4-a352-4ab5-8d9a-9b0500956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84FD29-E14B-46B4-816D-655298E69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A1341-1584-4A26-B51E-5F87041CC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0b0b4-a352-4ab5-8d9a-9b0500956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5FC65-F917-4D7D-8488-9E180360F55D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e8c0b0b4-a352-4ab5-8d9a-9b050095665e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2020-09-16T08:34:20Z</dcterms:created>
  <dc:creator>Microsoft Office-Benutzer</dc:creator>
  <dc:description/>
  <dc:language>en-US</dc:language>
  <cp:lastModifiedBy/>
  <cp:lastPrinted>2025-10-13T19:14:30Z</cp:lastPrinted>
  <dcterms:modified xsi:type="dcterms:W3CDTF">2026-05-10T18:19:47Z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0x0101000549767899022646ADCD8372B4AFDD77</vt:lpwstr>
  </property>
  <property fmtid="{D5CDD505-2E9C-101B-9397-08002B2CF9AE}" pid="3" name="MSIP_Label_29bb7c8b-3fd4-4dea-b697-0f2931e84efa_ActionId">
    <vt:lpwstr>006b65a2-1e9f-4c58-a443-ceba41c0e0f1</vt:lpwstr>
  </property>
  <property fmtid="{D5CDD505-2E9C-101B-9397-08002B2CF9AE}" pid="4" name="MSIP_Label_29bb7c8b-3fd4-4dea-b697-0f2931e84efa_ContentBits">
    <vt:lpwstr>0</vt:lpwstr>
  </property>
  <property fmtid="{D5CDD505-2E9C-101B-9397-08002B2CF9AE}" pid="5" name="MSIP_Label_29bb7c8b-3fd4-4dea-b697-0f2931e84efa_Enabled">
    <vt:lpwstr>true</vt:lpwstr>
  </property>
  <property fmtid="{D5CDD505-2E9C-101B-9397-08002B2CF9AE}" pid="6" name="MSIP_Label_29bb7c8b-3fd4-4dea-b697-0f2931e84efa_Method">
    <vt:lpwstr>Privileged</vt:lpwstr>
  </property>
  <property fmtid="{D5CDD505-2E9C-101B-9397-08002B2CF9AE}" pid="7" name="MSIP_Label_29bb7c8b-3fd4-4dea-b697-0f2931e84efa_Name">
    <vt:lpwstr>29bb7c8b-3fd4-4dea-b697-0f2931e84efa</vt:lpwstr>
  </property>
  <property fmtid="{D5CDD505-2E9C-101B-9397-08002B2CF9AE}" pid="8" name="MSIP_Label_29bb7c8b-3fd4-4dea-b697-0f2931e84efa_SetDate">
    <vt:lpwstr>2021-10-11T08:57:25Z</vt:lpwstr>
  </property>
  <property fmtid="{D5CDD505-2E9C-101B-9397-08002B2CF9AE}" pid="9" name="MSIP_Label_29bb7c8b-3fd4-4dea-b697-0f2931e84efa_SiteId">
    <vt:lpwstr>5d1a9f9d-201f-4a10-b983-451cf65cbc1e</vt:lpwstr>
  </property>
</Properties>
</file>