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k\Downloads\"/>
    </mc:Choice>
  </mc:AlternateContent>
  <xr:revisionPtr revIDLastSave="0" documentId="13_ncr:1_{0D4D7E35-A8C0-4258-94AA-0982116A0688}" xr6:coauthVersionLast="47" xr6:coauthVersionMax="47" xr10:uidLastSave="{00000000-0000-0000-0000-000000000000}"/>
  <bookViews>
    <workbookView xWindow="-110" yWindow="-110" windowWidth="29020" windowHeight="17500" xr2:uid="{4863865B-A197-AE4E-9C69-063F7A7A5F77}"/>
  </bookViews>
  <sheets>
    <sheet name="Paarvergleich Kriterien" sheetId="3" r:id="rId1"/>
    <sheet name="Eigenschaften" sheetId="4" r:id="rId2"/>
    <sheet name="Werteskala" sheetId="5" r:id="rId3"/>
    <sheet name="Bewertung Eigenschaften" sheetId="8" r:id="rId4"/>
    <sheet name="Nutzwert" sheetId="7" r:id="rId5"/>
  </sheets>
  <definedNames>
    <definedName name="_xlnm.Print_Area" localSheetId="3">'Bewertung Eigenschaften'!$A$1:$E$15</definedName>
    <definedName name="_xlnm.Print_Area" localSheetId="1">Eigenschaften!$A$5:$F$15</definedName>
    <definedName name="_xlnm.Print_Area" localSheetId="4">Nutzwert!$A$1:$L$21</definedName>
    <definedName name="_xlnm.Print_Area" localSheetId="2">Werteskala!$A$1:$H$13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7" l="1"/>
  <c r="C11" i="7"/>
  <c r="C12" i="7"/>
  <c r="B9" i="8"/>
  <c r="B10" i="8"/>
  <c r="B11" i="8"/>
  <c r="B9" i="4"/>
  <c r="B10" i="4"/>
  <c r="B11" i="4"/>
  <c r="B9" i="5"/>
  <c r="B10" i="5"/>
  <c r="B8" i="5"/>
  <c r="I6" i="3"/>
  <c r="H6" i="3"/>
  <c r="B7" i="4"/>
  <c r="B8" i="4"/>
  <c r="B6" i="4"/>
  <c r="B7" i="8"/>
  <c r="B8" i="8"/>
  <c r="B6" i="8"/>
  <c r="C8" i="7"/>
  <c r="C9" i="7"/>
  <c r="C7" i="7"/>
  <c r="B6" i="5"/>
  <c r="B7" i="5"/>
  <c r="B5" i="5"/>
  <c r="E6" i="3" l="1"/>
  <c r="F6" i="3"/>
  <c r="D6" i="3"/>
  <c r="F8" i="7"/>
  <c r="F9" i="7"/>
  <c r="F10" i="7"/>
  <c r="F11" i="7"/>
  <c r="F12" i="7"/>
  <c r="H8" i="7"/>
  <c r="H9" i="7"/>
  <c r="H10" i="7"/>
  <c r="H11" i="7"/>
  <c r="H12" i="7"/>
  <c r="H7" i="7"/>
  <c r="F7" i="7"/>
  <c r="D8" i="7"/>
  <c r="D9" i="7"/>
  <c r="D10" i="7"/>
  <c r="D11" i="7"/>
  <c r="D12" i="7"/>
  <c r="D7" i="7"/>
  <c r="H14" i="7" l="1"/>
  <c r="F14" i="7"/>
  <c r="D14" i="7"/>
  <c r="D14" i="3"/>
  <c r="D15" i="3" l="1"/>
  <c r="B7" i="7" s="1"/>
  <c r="E14" i="3"/>
  <c r="G14" i="3"/>
  <c r="I14" i="3"/>
  <c r="H14" i="3"/>
  <c r="F14" i="3"/>
  <c r="I7" i="7" l="1"/>
  <c r="E7" i="7"/>
  <c r="G7" i="7"/>
  <c r="K7" i="7"/>
  <c r="G15" i="3"/>
  <c r="B10" i="7" s="1"/>
  <c r="F15" i="3"/>
  <c r="B9" i="7" s="1"/>
  <c r="H15" i="3"/>
  <c r="B11" i="7" s="1"/>
  <c r="I15" i="3"/>
  <c r="B12" i="7" s="1"/>
  <c r="E15" i="3"/>
  <c r="B8" i="7" s="1"/>
  <c r="I11" i="7" l="1"/>
  <c r="K11" i="7"/>
  <c r="E11" i="7"/>
  <c r="G11" i="7"/>
  <c r="I8" i="7"/>
  <c r="E8" i="7"/>
  <c r="K8" i="7"/>
  <c r="G8" i="7"/>
  <c r="K12" i="7"/>
  <c r="E12" i="7"/>
  <c r="G12" i="7"/>
  <c r="I12" i="7"/>
  <c r="G9" i="7"/>
  <c r="K9" i="7"/>
  <c r="I9" i="7"/>
  <c r="E9" i="7"/>
  <c r="E10" i="7"/>
  <c r="G10" i="7"/>
  <c r="I10" i="7"/>
  <c r="K10" i="7"/>
  <c r="K14" i="7" l="1"/>
  <c r="G14" i="7" s="1"/>
  <c r="I14" i="7" l="1"/>
  <c r="E14" i="7"/>
</calcChain>
</file>

<file path=xl/sharedStrings.xml><?xml version="1.0" encoding="utf-8"?>
<sst xmlns="http://schemas.openxmlformats.org/spreadsheetml/2006/main" count="82" uniqueCount="57">
  <si>
    <t>Summe absolut</t>
  </si>
  <si>
    <t>Summe normiert</t>
  </si>
  <si>
    <t>Lösung 1</t>
  </si>
  <si>
    <t>Lösung 2</t>
  </si>
  <si>
    <t>Lösung 3</t>
  </si>
  <si>
    <t>Gew.</t>
  </si>
  <si>
    <t>ungew</t>
  </si>
  <si>
    <t>gew</t>
  </si>
  <si>
    <t>Gew. Maximalwert</t>
  </si>
  <si>
    <t>Nutzwert</t>
  </si>
  <si>
    <t>Rangfolge</t>
  </si>
  <si>
    <t>1: identisch</t>
  </si>
  <si>
    <t>0: schlechter</t>
  </si>
  <si>
    <t>Die Werteskala hilft dabei, Eigenschaften in Zahlen umzuwandeln, 
damit man sie in der Nutzwertanalyse besser bewerten und miteinander vergleichen kann.</t>
  </si>
  <si>
    <t>mittel</t>
  </si>
  <si>
    <t>sehr schlecht</t>
  </si>
  <si>
    <t>schlecht</t>
  </si>
  <si>
    <t>gut</t>
  </si>
  <si>
    <t>sehr gut</t>
  </si>
  <si>
    <t>Zielsicherheit / Ablagegenauigkeit</t>
  </si>
  <si>
    <t>Betriebssicherheit (störungsfrei)</t>
  </si>
  <si>
    <t>2: besser/wichtiger</t>
  </si>
  <si>
    <t>schwierig</t>
  </si>
  <si>
    <t xml:space="preserve">einfach </t>
  </si>
  <si>
    <t xml:space="preserve">sehr einfach </t>
  </si>
  <si>
    <t xml:space="preserve">Modularer Aufbau </t>
  </si>
  <si>
    <t xml:space="preserve">Geschwindigkeit / Strategie </t>
  </si>
  <si>
    <t>Wendigkeit des Roboters</t>
  </si>
  <si>
    <t>hohe Genauigkeit</t>
  </si>
  <si>
    <t>geringe Genauigkeit</t>
  </si>
  <si>
    <t>schlechte Genauigkeit</t>
  </si>
  <si>
    <t>gute Genauigkeit</t>
  </si>
  <si>
    <t>mittlere Genauigkeit</t>
  </si>
  <si>
    <t>sehr störanfällig</t>
  </si>
  <si>
    <t>störanfällig</t>
  </si>
  <si>
    <t>mässig störanfällig</t>
  </si>
  <si>
    <t>wenig störanfällig</t>
  </si>
  <si>
    <t>sehr betriebssicher</t>
  </si>
  <si>
    <t>kaum modular</t>
  </si>
  <si>
    <t>wenig modular</t>
  </si>
  <si>
    <t>teilweise modular</t>
  </si>
  <si>
    <t>modular</t>
  </si>
  <si>
    <t>sehr modular</t>
  </si>
  <si>
    <r>
      <rPr>
        <b/>
        <sz val="9"/>
        <color theme="1"/>
        <rFont val="Calibri"/>
        <family val="2"/>
        <scheme val="minor"/>
      </rPr>
      <t>Einfache Konstruktion:</t>
    </r>
    <r>
      <rPr>
        <sz val="9"/>
        <color theme="1"/>
        <rFont val="Calibri"/>
        <family val="2"/>
        <scheme val="minor"/>
      </rPr>
      <t xml:space="preserve"> Beurteilung der konstruktiven Komplexität und Umsetzbarkeit des Konzepts.
</t>
    </r>
    <r>
      <rPr>
        <b/>
        <sz val="9"/>
        <color theme="1"/>
        <rFont val="Calibri"/>
        <family val="2"/>
        <scheme val="minor"/>
      </rPr>
      <t>Zielsicherheit / Ablagegenauigkeit:</t>
    </r>
    <r>
      <rPr>
        <sz val="9"/>
        <color theme="1"/>
        <rFont val="Calibri"/>
        <family val="2"/>
        <scheme val="minor"/>
      </rPr>
      <t xml:space="preserve"> Beurteilung der Genauigkeit beim Positionieren und Ablegen der Objekte.
</t>
    </r>
    <r>
      <rPr>
        <b/>
        <sz val="9"/>
        <color theme="1"/>
        <rFont val="Calibri"/>
        <family val="2"/>
        <scheme val="minor"/>
      </rPr>
      <t>Betriebssicherheit:</t>
    </r>
    <r>
      <rPr>
        <sz val="9"/>
        <color theme="1"/>
        <rFont val="Calibri"/>
        <family val="2"/>
        <scheme val="minor"/>
      </rPr>
      <t xml:space="preserve"> Beurteilung der Zuverlässigkeit und Funktionsstabilität im Betrieb.
</t>
    </r>
    <r>
      <rPr>
        <b/>
        <sz val="9"/>
        <color theme="1"/>
        <rFont val="Calibri"/>
        <family val="2"/>
        <scheme val="minor"/>
      </rPr>
      <t>Geschwindigkeit / Strategie:</t>
    </r>
    <r>
      <rPr>
        <sz val="9"/>
        <color theme="1"/>
        <rFont val="Calibri"/>
        <family val="2"/>
        <scheme val="minor"/>
      </rPr>
      <t xml:space="preserve"> Beurteilung der zeitlichen Effizienz und der Zweckmäßigkeit des Bewegungsablaufs.
</t>
    </r>
    <r>
      <rPr>
        <b/>
        <sz val="9"/>
        <color theme="1"/>
        <rFont val="Calibri"/>
        <family val="2"/>
        <scheme val="minor"/>
      </rPr>
      <t>Modularer Aufbau:</t>
    </r>
    <r>
      <rPr>
        <sz val="9"/>
        <color theme="1"/>
        <rFont val="Calibri"/>
        <family val="2"/>
        <scheme val="minor"/>
      </rPr>
      <t xml:space="preserve"> Beurteilung der Gliederung in anpassbare und austauschbare Baugruppen.
</t>
    </r>
    <r>
      <rPr>
        <b/>
        <sz val="9"/>
        <color theme="1"/>
        <rFont val="Calibri"/>
        <family val="2"/>
        <scheme val="minor"/>
      </rPr>
      <t xml:space="preserve">Wendigkeit des Roboters: </t>
    </r>
    <r>
      <rPr>
        <sz val="9"/>
        <color theme="1"/>
        <rFont val="Calibri"/>
        <family val="2"/>
        <scheme val="minor"/>
      </rPr>
      <t>Beurteilung der Beweglichkeit und Manövrierfähigkeit auf dem Spielfeld.</t>
    </r>
  </si>
  <si>
    <t>Einfache Konstruktion</t>
  </si>
  <si>
    <t>sehr langsam / 
keine sinnvolle Strategie</t>
  </si>
  <si>
    <t>langsam / 
schwache Strategie</t>
  </si>
  <si>
    <t>mittel / 
teilweise sinnvolle Strategie</t>
  </si>
  <si>
    <t>schnell / 
gute Strategie</t>
  </si>
  <si>
    <t>sehr schnell / 
sehr gute Strategie</t>
  </si>
  <si>
    <t xml:space="preserve">sehr schwierig  </t>
  </si>
  <si>
    <t xml:space="preserve"> </t>
  </si>
  <si>
    <t>einfach</t>
  </si>
  <si>
    <t>normal</t>
  </si>
  <si>
    <t>mittel / teilweise sinvolle Strategie</t>
  </si>
  <si>
    <t>langsam / keine sinnvolle Strategie</t>
  </si>
  <si>
    <t>schnell / gute Strategie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</si>
</sst>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4DCF8"/>
        <bgColor indexed="64"/>
      </patternFill>
    </fill>
    <fill>
      <patternFill patternType="solid">
        <fgColor rgb="FFF7C7AC"/>
        <bgColor indexed="64"/>
      </patternFill>
    </fill>
    <fill>
      <patternFill patternType="solid">
        <fgColor rgb="FFC1F0C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3" fillId="0" borderId="1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0" fillId="0" borderId="1" xfId="0" applyBorder="1"/>
    <xf numFmtId="0" fontId="4" fillId="0" borderId="1" xfId="1" applyFont="1" applyBorder="1" applyAlignment="1">
      <alignment vertical="center" wrapText="1"/>
    </xf>
    <xf numFmtId="0" fontId="1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0" xfId="0" applyNumberFormat="1"/>
    <xf numFmtId="164" fontId="3" fillId="0" borderId="1" xfId="1" applyNumberFormat="1" applyFont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0" fontId="3" fillId="0" borderId="1" xfId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/>
    <xf numFmtId="0" fontId="5" fillId="0" borderId="0" xfId="0" applyFont="1"/>
    <xf numFmtId="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  <xf numFmtId="0" fontId="6" fillId="0" borderId="0" xfId="0" applyFont="1" applyAlignment="1">
      <alignment horizontal="left" vertical="top" wrapText="1"/>
    </xf>
    <xf numFmtId="0" fontId="7" fillId="0" borderId="1" xfId="1" applyFont="1" applyBorder="1" applyAlignment="1">
      <alignment textRotation="90" wrapTex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9" fontId="7" fillId="0" borderId="1" xfId="0" applyNumberFormat="1" applyFont="1" applyBorder="1" applyAlignment="1">
      <alignment horizontal="lef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</cellXfs>
  <cellStyles count="2">
    <cellStyle name="Standard" xfId="0" builtinId="0"/>
    <cellStyle name="Standard 2" xfId="1" xr:uid="{92DC4ECB-CCDD-3443-B762-1DB10FAB4BDB}"/>
  </cellStyles>
  <dxfs count="0"/>
  <tableStyles count="0" defaultTableStyle="TableStyleMedium2" defaultPivotStyle="PivotStyleLight16"/>
  <colors>
    <mruColors>
      <color rgb="FFC1F0C8"/>
      <color rgb="FFF7C7AC"/>
      <color rgb="FF94DCF8"/>
      <color rgb="FF66CCFF"/>
      <color rgb="FF33CC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ACC82-F89A-0D42-BB97-540B4E1A005D}">
  <dimension ref="C6:J15"/>
  <sheetViews>
    <sheetView tabSelected="1" zoomScale="150" zoomScaleNormal="150" zoomScalePageLayoutView="70" workbookViewId="0">
      <selection activeCell="B8" sqref="B8"/>
    </sheetView>
  </sheetViews>
  <sheetFormatPr baseColWidth="10" defaultColWidth="11" defaultRowHeight="15.9" customHeight="1" x14ac:dyDescent="0.35"/>
  <cols>
    <col min="3" max="3" width="40.5" customWidth="1"/>
    <col min="4" max="9" width="6" customWidth="1"/>
    <col min="13" max="26" width="3" customWidth="1"/>
  </cols>
  <sheetData>
    <row r="6" spans="3:10" ht="245.15" customHeight="1" x14ac:dyDescent="0.35">
      <c r="C6" s="21" t="s">
        <v>43</v>
      </c>
      <c r="D6" s="22" t="str">
        <f>C7</f>
        <v>Einfache Konstruktion</v>
      </c>
      <c r="E6" s="22" t="str">
        <f>C8</f>
        <v>Zielsicherheit / Ablagegenauigkeit</v>
      </c>
      <c r="F6" s="22" t="str">
        <f>C9</f>
        <v>Betriebssicherheit (störungsfrei)</v>
      </c>
      <c r="G6" s="22" t="s">
        <v>26</v>
      </c>
      <c r="H6" s="22" t="str">
        <f>C11</f>
        <v xml:space="preserve">Modularer Aufbau </v>
      </c>
      <c r="I6" s="22" t="str">
        <f>C12</f>
        <v>Wendigkeit des Roboters</v>
      </c>
    </row>
    <row r="7" spans="3:10" ht="15.9" customHeight="1" x14ac:dyDescent="0.35">
      <c r="C7" t="s">
        <v>44</v>
      </c>
      <c r="D7" s="17">
        <v>1</v>
      </c>
      <c r="E7" s="3">
        <v>2</v>
      </c>
      <c r="F7" s="3">
        <v>2</v>
      </c>
      <c r="G7" s="3">
        <v>1</v>
      </c>
      <c r="H7" s="3">
        <v>0</v>
      </c>
      <c r="I7" s="3">
        <v>1</v>
      </c>
      <c r="J7" t="s">
        <v>21</v>
      </c>
    </row>
    <row r="8" spans="3:10" ht="15.9" customHeight="1" x14ac:dyDescent="0.35">
      <c r="C8" t="s">
        <v>19</v>
      </c>
      <c r="D8" s="3">
        <v>0</v>
      </c>
      <c r="E8" s="17">
        <v>1</v>
      </c>
      <c r="F8" s="3">
        <v>1</v>
      </c>
      <c r="G8" s="3">
        <v>0</v>
      </c>
      <c r="H8" s="3">
        <v>0</v>
      </c>
      <c r="I8" s="3">
        <v>0</v>
      </c>
      <c r="J8" t="s">
        <v>11</v>
      </c>
    </row>
    <row r="9" spans="3:10" ht="15.9" customHeight="1" x14ac:dyDescent="0.35">
      <c r="C9" t="s">
        <v>20</v>
      </c>
      <c r="D9" s="3">
        <v>0</v>
      </c>
      <c r="E9" s="3">
        <v>1</v>
      </c>
      <c r="F9" s="17">
        <v>1</v>
      </c>
      <c r="G9" s="3">
        <v>0</v>
      </c>
      <c r="H9" s="3">
        <v>0</v>
      </c>
      <c r="I9" s="3">
        <v>0</v>
      </c>
      <c r="J9" t="s">
        <v>12</v>
      </c>
    </row>
    <row r="10" spans="3:10" ht="15.9" customHeight="1" x14ac:dyDescent="0.35">
      <c r="C10" t="s">
        <v>26</v>
      </c>
      <c r="D10" s="3">
        <v>1</v>
      </c>
      <c r="E10" s="3">
        <v>2</v>
      </c>
      <c r="F10" s="3">
        <v>2</v>
      </c>
      <c r="G10" s="17">
        <v>1</v>
      </c>
      <c r="H10" s="3">
        <v>1</v>
      </c>
      <c r="I10" s="3">
        <v>1</v>
      </c>
    </row>
    <row r="11" spans="3:10" ht="15.9" customHeight="1" x14ac:dyDescent="0.35">
      <c r="C11" t="s">
        <v>25</v>
      </c>
      <c r="D11" s="3">
        <v>2</v>
      </c>
      <c r="E11" s="3">
        <v>2</v>
      </c>
      <c r="F11" s="3">
        <v>2</v>
      </c>
      <c r="G11" s="3">
        <v>1</v>
      </c>
      <c r="H11" s="17">
        <v>1</v>
      </c>
      <c r="I11" s="3">
        <v>1</v>
      </c>
    </row>
    <row r="12" spans="3:10" ht="15.9" customHeight="1" x14ac:dyDescent="0.35">
      <c r="C12" t="s">
        <v>27</v>
      </c>
      <c r="D12" s="3">
        <v>1</v>
      </c>
      <c r="E12" s="3">
        <v>2</v>
      </c>
      <c r="F12" s="3">
        <v>2</v>
      </c>
      <c r="G12" s="3">
        <v>1</v>
      </c>
      <c r="H12" s="3">
        <v>1</v>
      </c>
      <c r="I12" s="17">
        <v>1</v>
      </c>
    </row>
    <row r="13" spans="3:10" ht="15.9" customHeight="1" x14ac:dyDescent="0.35">
      <c r="C13" s="2"/>
    </row>
    <row r="14" spans="3:10" ht="15.9" customHeight="1" x14ac:dyDescent="0.35">
      <c r="C14" s="1" t="s">
        <v>0</v>
      </c>
      <c r="D14" s="3">
        <f t="shared" ref="D14:I14" si="0">SUM(D7:D12)</f>
        <v>5</v>
      </c>
      <c r="E14" s="3">
        <f t="shared" si="0"/>
        <v>10</v>
      </c>
      <c r="F14" s="3">
        <f t="shared" si="0"/>
        <v>10</v>
      </c>
      <c r="G14" s="3">
        <f t="shared" si="0"/>
        <v>4</v>
      </c>
      <c r="H14" s="3">
        <f t="shared" si="0"/>
        <v>3</v>
      </c>
      <c r="I14" s="3">
        <f t="shared" si="0"/>
        <v>4</v>
      </c>
    </row>
    <row r="15" spans="3:10" ht="15.9" customHeight="1" x14ac:dyDescent="0.35">
      <c r="C15" s="4" t="s">
        <v>1</v>
      </c>
      <c r="D15" s="5">
        <f>D14/11</f>
        <v>0.45454545454545453</v>
      </c>
      <c r="E15" s="5">
        <f t="shared" ref="E15:I15" si="1">E14/11</f>
        <v>0.90909090909090906</v>
      </c>
      <c r="F15" s="5">
        <f t="shared" si="1"/>
        <v>0.90909090909090906</v>
      </c>
      <c r="G15" s="5">
        <f t="shared" si="1"/>
        <v>0.36363636363636365</v>
      </c>
      <c r="H15" s="5">
        <f t="shared" si="1"/>
        <v>0.27272727272727271</v>
      </c>
      <c r="I15" s="5">
        <f t="shared" si="1"/>
        <v>0.36363636363636365</v>
      </c>
    </row>
  </sheetData>
  <pageMargins left="0.7" right="0.7" top="0.78740157499999996" bottom="0.78740157499999996" header="0.3" footer="0.3"/>
  <pageSetup paperSize="9" orientation="landscape" r:id="rId1"/>
  <headerFooter>
    <oddHeader>&amp;C&amp;"-,Fett"&amp;18Paarvergleich Kriterien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C7805-B1B5-4248-93A8-8C344A274FF4}">
  <dimension ref="B5:E11"/>
  <sheetViews>
    <sheetView zoomScale="150" zoomScaleNormal="150" zoomScalePageLayoutView="70" workbookViewId="0">
      <selection activeCell="C5" sqref="C5"/>
    </sheetView>
  </sheetViews>
  <sheetFormatPr baseColWidth="10" defaultColWidth="11" defaultRowHeight="15.5" x14ac:dyDescent="0.35"/>
  <cols>
    <col min="1" max="1" width="2.4140625" customWidth="1"/>
    <col min="2" max="2" width="39.5" customWidth="1"/>
    <col min="3" max="5" width="30.08203125" customWidth="1"/>
  </cols>
  <sheetData>
    <row r="5" spans="2:5" ht="141" customHeight="1" x14ac:dyDescent="0.35">
      <c r="C5" s="30" t="s">
        <v>2</v>
      </c>
      <c r="D5" s="29" t="s">
        <v>3</v>
      </c>
      <c r="E5" s="28" t="s">
        <v>4</v>
      </c>
    </row>
    <row r="6" spans="2:5" ht="15.9" customHeight="1" x14ac:dyDescent="0.35">
      <c r="B6" s="1" t="str">
        <f>'Paarvergleich Kriterien'!C7</f>
        <v>Einfache Konstruktion</v>
      </c>
      <c r="C6" s="23" t="s">
        <v>52</v>
      </c>
      <c r="D6" s="23" t="s">
        <v>53</v>
      </c>
      <c r="E6" s="23" t="s">
        <v>22</v>
      </c>
    </row>
    <row r="7" spans="2:5" ht="15.9" customHeight="1" x14ac:dyDescent="0.35">
      <c r="B7" s="1" t="str">
        <f>'Paarvergleich Kriterien'!C8</f>
        <v>Zielsicherheit / Ablagegenauigkeit</v>
      </c>
      <c r="C7" s="23" t="s">
        <v>31</v>
      </c>
      <c r="D7" s="23" t="s">
        <v>31</v>
      </c>
      <c r="E7" s="23" t="s">
        <v>31</v>
      </c>
    </row>
    <row r="8" spans="2:5" ht="15.9" customHeight="1" x14ac:dyDescent="0.35">
      <c r="B8" s="1" t="str">
        <f>'Paarvergleich Kriterien'!C9</f>
        <v>Betriebssicherheit (störungsfrei)</v>
      </c>
      <c r="C8" s="23" t="s">
        <v>37</v>
      </c>
      <c r="D8" s="23" t="s">
        <v>36</v>
      </c>
      <c r="E8" s="23" t="s">
        <v>36</v>
      </c>
    </row>
    <row r="9" spans="2:5" ht="15.9" customHeight="1" x14ac:dyDescent="0.35">
      <c r="B9" s="1" t="str">
        <f>'Paarvergleich Kriterien'!C10</f>
        <v xml:space="preserve">Geschwindigkeit / Strategie </v>
      </c>
      <c r="C9" s="23" t="s">
        <v>54</v>
      </c>
      <c r="D9" s="23" t="s">
        <v>55</v>
      </c>
      <c r="E9" s="23" t="s">
        <v>56</v>
      </c>
    </row>
    <row r="10" spans="2:5" ht="15.9" customHeight="1" x14ac:dyDescent="0.35">
      <c r="B10" s="1" t="str">
        <f>'Paarvergleich Kriterien'!C11</f>
        <v xml:space="preserve">Modularer Aufbau </v>
      </c>
      <c r="C10" s="27" t="s">
        <v>42</v>
      </c>
      <c r="D10" s="27" t="s">
        <v>40</v>
      </c>
      <c r="E10" s="27" t="s">
        <v>40</v>
      </c>
    </row>
    <row r="11" spans="2:5" ht="15.9" customHeight="1" x14ac:dyDescent="0.35">
      <c r="B11" s="1" t="str">
        <f>'Paarvergleich Kriterien'!C12</f>
        <v>Wendigkeit des Roboters</v>
      </c>
      <c r="C11" s="23" t="s">
        <v>14</v>
      </c>
      <c r="D11" s="23" t="s">
        <v>14</v>
      </c>
      <c r="E11" s="23" t="s">
        <v>17</v>
      </c>
    </row>
  </sheetData>
  <pageMargins left="0.7" right="0.7" top="0.78740157499999996" bottom="0.78740157499999996" header="0.3" footer="0.3"/>
  <pageSetup paperSize="9" scale="93" orientation="landscape" r:id="rId1"/>
  <headerFooter>
    <oddHeader>&amp;C&amp;"-,Fett"&amp;18Eigenschaften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C36A8-4A58-4447-B828-3F6718990389}">
  <dimension ref="B1:G21"/>
  <sheetViews>
    <sheetView zoomScale="140" zoomScaleNormal="140" zoomScalePageLayoutView="55" workbookViewId="0">
      <selection activeCell="B15" sqref="B15"/>
    </sheetView>
  </sheetViews>
  <sheetFormatPr baseColWidth="10" defaultColWidth="11" defaultRowHeight="15.5" x14ac:dyDescent="0.35"/>
  <cols>
    <col min="1" max="1" width="8.9140625" customWidth="1"/>
    <col min="2" max="2" width="32" customWidth="1"/>
    <col min="3" max="3" width="21.6640625" style="6" customWidth="1"/>
    <col min="4" max="4" width="17.5" style="6" customWidth="1"/>
    <col min="5" max="5" width="24.83203125" style="6" customWidth="1"/>
    <col min="6" max="6" width="15.9140625" style="6" customWidth="1"/>
    <col min="7" max="7" width="18.1640625" style="6" customWidth="1"/>
  </cols>
  <sheetData>
    <row r="1" spans="2:7" ht="93.65" customHeight="1" x14ac:dyDescent="0.35">
      <c r="B1" s="25" t="s">
        <v>13</v>
      </c>
    </row>
    <row r="2" spans="2:7" x14ac:dyDescent="0.35">
      <c r="B2" s="25"/>
    </row>
    <row r="4" spans="2:7" x14ac:dyDescent="0.35">
      <c r="C4" s="7">
        <v>0</v>
      </c>
      <c r="D4" s="7">
        <v>1</v>
      </c>
      <c r="E4" s="7">
        <v>2</v>
      </c>
      <c r="F4" s="7">
        <v>3</v>
      </c>
      <c r="G4" s="7">
        <v>4</v>
      </c>
    </row>
    <row r="5" spans="2:7" ht="15.9" customHeight="1" x14ac:dyDescent="0.35">
      <c r="B5" s="1" t="str">
        <f>'Paarvergleich Kriterien'!C7</f>
        <v>Einfache Konstruktion</v>
      </c>
      <c r="C5" s="23" t="s">
        <v>50</v>
      </c>
      <c r="D5" s="23" t="s">
        <v>22</v>
      </c>
      <c r="E5" s="23" t="s">
        <v>53</v>
      </c>
      <c r="F5" s="23" t="s">
        <v>23</v>
      </c>
      <c r="G5" s="23" t="s">
        <v>24</v>
      </c>
    </row>
    <row r="6" spans="2:7" ht="15.9" customHeight="1" x14ac:dyDescent="0.35">
      <c r="B6" s="1" t="str">
        <f>'Paarvergleich Kriterien'!C8</f>
        <v>Zielsicherheit / Ablagegenauigkeit</v>
      </c>
      <c r="C6" s="23" t="s">
        <v>30</v>
      </c>
      <c r="D6" s="23" t="s">
        <v>29</v>
      </c>
      <c r="E6" s="23" t="s">
        <v>32</v>
      </c>
      <c r="F6" s="23" t="s">
        <v>31</v>
      </c>
      <c r="G6" s="23" t="s">
        <v>28</v>
      </c>
    </row>
    <row r="7" spans="2:7" ht="15.9" customHeight="1" x14ac:dyDescent="0.35">
      <c r="B7" s="1" t="str">
        <f>'Paarvergleich Kriterien'!C9</f>
        <v>Betriebssicherheit (störungsfrei)</v>
      </c>
      <c r="C7" s="3" t="s">
        <v>33</v>
      </c>
      <c r="D7" s="3" t="s">
        <v>34</v>
      </c>
      <c r="E7" s="3" t="s">
        <v>35</v>
      </c>
      <c r="F7" s="3" t="s">
        <v>36</v>
      </c>
      <c r="G7" s="3" t="s">
        <v>37</v>
      </c>
    </row>
    <row r="8" spans="2:7" ht="33" customHeight="1" x14ac:dyDescent="0.35">
      <c r="B8" s="1" t="str">
        <f>'Paarvergleich Kriterien'!C10</f>
        <v xml:space="preserve">Geschwindigkeit / Strategie </v>
      </c>
      <c r="C8" s="24" t="s">
        <v>45</v>
      </c>
      <c r="D8" s="24" t="s">
        <v>46</v>
      </c>
      <c r="E8" s="24" t="s">
        <v>47</v>
      </c>
      <c r="F8" s="24" t="s">
        <v>48</v>
      </c>
      <c r="G8" s="24" t="s">
        <v>49</v>
      </c>
    </row>
    <row r="9" spans="2:7" ht="15.9" customHeight="1" x14ac:dyDescent="0.35">
      <c r="B9" s="1" t="str">
        <f>'Paarvergleich Kriterien'!C11</f>
        <v xml:space="preserve">Modularer Aufbau </v>
      </c>
      <c r="C9" s="3" t="s">
        <v>38</v>
      </c>
      <c r="D9" s="3" t="s">
        <v>39</v>
      </c>
      <c r="E9" s="3" t="s">
        <v>40</v>
      </c>
      <c r="F9" s="3" t="s">
        <v>41</v>
      </c>
      <c r="G9" s="3" t="s">
        <v>42</v>
      </c>
    </row>
    <row r="10" spans="2:7" ht="15.9" customHeight="1" x14ac:dyDescent="0.35">
      <c r="B10" s="1" t="str">
        <f>'Paarvergleich Kriterien'!C12</f>
        <v>Wendigkeit des Roboters</v>
      </c>
      <c r="C10" s="3" t="s">
        <v>15</v>
      </c>
      <c r="D10" s="23" t="s">
        <v>16</v>
      </c>
      <c r="E10" s="23" t="s">
        <v>14</v>
      </c>
      <c r="F10" s="23" t="s">
        <v>17</v>
      </c>
      <c r="G10" s="23" t="s">
        <v>18</v>
      </c>
    </row>
    <row r="16" spans="2:7" x14ac:dyDescent="0.35">
      <c r="B16" s="2"/>
    </row>
    <row r="17" spans="2:7" x14ac:dyDescent="0.35">
      <c r="B17" s="18"/>
    </row>
    <row r="18" spans="2:7" x14ac:dyDescent="0.35">
      <c r="B18" s="2"/>
    </row>
    <row r="19" spans="2:7" x14ac:dyDescent="0.35">
      <c r="B19" s="2"/>
    </row>
    <row r="20" spans="2:7" x14ac:dyDescent="0.35">
      <c r="B20" s="2"/>
      <c r="C20" s="19"/>
      <c r="D20" s="19"/>
      <c r="E20" s="19"/>
      <c r="F20" s="19"/>
      <c r="G20" s="19"/>
    </row>
    <row r="21" spans="2:7" x14ac:dyDescent="0.35">
      <c r="B21" s="2"/>
    </row>
  </sheetData>
  <mergeCells count="1">
    <mergeCell ref="B1:B2"/>
  </mergeCells>
  <pageMargins left="0.7" right="0.7" top="0.78740157499999996" bottom="0.78740157499999996" header="0.3" footer="0.3"/>
  <pageSetup paperSize="9" scale="80" orientation="landscape" r:id="rId1"/>
  <headerFooter>
    <oddHeader>&amp;C&amp;"-,Fett"&amp;18Werteskala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A53F9-4020-F745-92CF-8F66E266E6CC}">
  <dimension ref="B5:E11"/>
  <sheetViews>
    <sheetView zoomScaleNormal="100" zoomScalePageLayoutView="69" workbookViewId="0">
      <selection activeCell="D14" sqref="D14"/>
    </sheetView>
  </sheetViews>
  <sheetFormatPr baseColWidth="10" defaultColWidth="11" defaultRowHeight="15.5" x14ac:dyDescent="0.35"/>
  <cols>
    <col min="1" max="1" width="4" customWidth="1"/>
    <col min="2" max="2" width="51" customWidth="1"/>
    <col min="3" max="5" width="29.08203125" customWidth="1"/>
  </cols>
  <sheetData>
    <row r="5" spans="2:5" ht="141" customHeight="1" x14ac:dyDescent="0.35">
      <c r="C5" t="s">
        <v>2</v>
      </c>
      <c r="D5" t="s">
        <v>3</v>
      </c>
      <c r="E5" t="s">
        <v>4</v>
      </c>
    </row>
    <row r="6" spans="2:5" ht="15.9" customHeight="1" x14ac:dyDescent="0.35">
      <c r="B6" s="1" t="str">
        <f>'Paarvergleich Kriterien'!C7</f>
        <v>Einfache Konstruktion</v>
      </c>
      <c r="C6" s="3">
        <v>2</v>
      </c>
      <c r="D6" s="3">
        <v>2</v>
      </c>
      <c r="E6" s="3">
        <v>1</v>
      </c>
    </row>
    <row r="7" spans="2:5" ht="15.9" customHeight="1" x14ac:dyDescent="0.35">
      <c r="B7" s="1" t="str">
        <f>'Paarvergleich Kriterien'!C8</f>
        <v>Zielsicherheit / Ablagegenauigkeit</v>
      </c>
      <c r="C7" s="3">
        <v>3</v>
      </c>
      <c r="D7" s="3">
        <v>3</v>
      </c>
      <c r="E7" s="3">
        <v>3</v>
      </c>
    </row>
    <row r="8" spans="2:5" ht="15.9" customHeight="1" x14ac:dyDescent="0.35">
      <c r="B8" s="1" t="str">
        <f>'Paarvergleich Kriterien'!C9</f>
        <v>Betriebssicherheit (störungsfrei)</v>
      </c>
      <c r="C8" s="3">
        <v>4</v>
      </c>
      <c r="D8" s="3">
        <v>3</v>
      </c>
      <c r="E8" s="3">
        <v>3</v>
      </c>
    </row>
    <row r="9" spans="2:5" ht="15.9" customHeight="1" x14ac:dyDescent="0.35">
      <c r="B9" s="1" t="str">
        <f>'Paarvergleich Kriterien'!C10</f>
        <v xml:space="preserve">Geschwindigkeit / Strategie </v>
      </c>
      <c r="C9" s="3">
        <v>2</v>
      </c>
      <c r="D9" s="3">
        <v>1</v>
      </c>
      <c r="E9" s="3">
        <v>3</v>
      </c>
    </row>
    <row r="10" spans="2:5" ht="15.9" customHeight="1" x14ac:dyDescent="0.35">
      <c r="B10" s="1" t="str">
        <f>'Paarvergleich Kriterien'!C11</f>
        <v xml:space="preserve">Modularer Aufbau </v>
      </c>
      <c r="C10" s="3">
        <v>4</v>
      </c>
      <c r="D10" s="3">
        <v>2</v>
      </c>
      <c r="E10" s="3">
        <v>2</v>
      </c>
    </row>
    <row r="11" spans="2:5" ht="15.9" customHeight="1" x14ac:dyDescent="0.35">
      <c r="B11" s="1" t="str">
        <f>'Paarvergleich Kriterien'!C12</f>
        <v>Wendigkeit des Roboters</v>
      </c>
      <c r="C11" s="3">
        <v>2</v>
      </c>
      <c r="D11" s="3">
        <v>2</v>
      </c>
      <c r="E11" s="3">
        <v>3</v>
      </c>
    </row>
  </sheetData>
  <pageMargins left="0.7" right="0.7" top="0.78740157499999996" bottom="0.78740157499999996" header="0.3" footer="0.3"/>
  <pageSetup paperSize="9" scale="84" orientation="landscape" r:id="rId1"/>
  <headerFooter>
    <oddHeader>&amp;C&amp;"-,Fett"&amp;18Bewertung Eigenschaften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97381-BE18-3642-AD97-F18F572A044E}">
  <dimension ref="B5:T51"/>
  <sheetViews>
    <sheetView zoomScale="70" zoomScaleNormal="70" zoomScalePageLayoutView="85" workbookViewId="0">
      <selection activeCell="H30" sqref="H30"/>
    </sheetView>
  </sheetViews>
  <sheetFormatPr baseColWidth="10" defaultColWidth="11" defaultRowHeight="15.5" x14ac:dyDescent="0.35"/>
  <cols>
    <col min="1" max="1" width="2.9140625" customWidth="1"/>
    <col min="3" max="3" width="37.4140625" customWidth="1"/>
    <col min="4" max="9" width="10" customWidth="1"/>
    <col min="10" max="10" width="3.9140625" customWidth="1"/>
    <col min="11" max="11" width="11.4140625" customWidth="1"/>
    <col min="12" max="12" width="12.4140625" customWidth="1"/>
  </cols>
  <sheetData>
    <row r="5" spans="2:11" ht="141" customHeight="1" x14ac:dyDescent="0.35">
      <c r="D5" s="26" t="s">
        <v>2</v>
      </c>
      <c r="E5" s="26"/>
      <c r="F5" s="26" t="s">
        <v>3</v>
      </c>
      <c r="G5" s="26"/>
      <c r="H5" s="26" t="s">
        <v>4</v>
      </c>
      <c r="I5" s="26"/>
    </row>
    <row r="6" spans="2:11" ht="15.9" customHeight="1" x14ac:dyDescent="0.35">
      <c r="B6" s="13" t="s">
        <v>5</v>
      </c>
      <c r="C6" s="3"/>
      <c r="D6" s="8" t="s">
        <v>6</v>
      </c>
      <c r="E6" s="8" t="s">
        <v>7</v>
      </c>
      <c r="F6" s="8" t="s">
        <v>6</v>
      </c>
      <c r="G6" s="8" t="s">
        <v>7</v>
      </c>
      <c r="H6" s="8" t="s">
        <v>6</v>
      </c>
      <c r="I6" s="8" t="s">
        <v>7</v>
      </c>
      <c r="K6" s="12" t="s">
        <v>8</v>
      </c>
    </row>
    <row r="7" spans="2:11" ht="15.9" customHeight="1" x14ac:dyDescent="0.35">
      <c r="B7" s="14">
        <f>'Paarvergleich Kriterien'!D15</f>
        <v>0.45454545454545453</v>
      </c>
      <c r="C7" s="1" t="str">
        <f>'Paarvergleich Kriterien'!C7</f>
        <v>Einfache Konstruktion</v>
      </c>
      <c r="D7" s="8">
        <f>'Bewertung Eigenschaften'!C6</f>
        <v>2</v>
      </c>
      <c r="E7" s="10">
        <f>D7*$B7</f>
        <v>0.90909090909090906</v>
      </c>
      <c r="F7" s="8">
        <f>'Bewertung Eigenschaften'!D6</f>
        <v>2</v>
      </c>
      <c r="G7" s="10">
        <f>F7*$B7</f>
        <v>0.90909090909090906</v>
      </c>
      <c r="H7" s="8">
        <f>'Bewertung Eigenschaften'!E6</f>
        <v>1</v>
      </c>
      <c r="I7" s="10">
        <f>H7*$B7</f>
        <v>0.45454545454545453</v>
      </c>
      <c r="K7" s="11">
        <f>4*$B7</f>
        <v>1.8181818181818181</v>
      </c>
    </row>
    <row r="8" spans="2:11" ht="15.9" customHeight="1" x14ac:dyDescent="0.35">
      <c r="B8" s="14">
        <f>'Paarvergleich Kriterien'!E15</f>
        <v>0.90909090909090906</v>
      </c>
      <c r="C8" s="1" t="str">
        <f>'Paarvergleich Kriterien'!C8</f>
        <v>Zielsicherheit / Ablagegenauigkeit</v>
      </c>
      <c r="D8" s="8">
        <f>'Bewertung Eigenschaften'!C7</f>
        <v>3</v>
      </c>
      <c r="E8" s="10">
        <f t="shared" ref="E8:G12" si="0">D8*$B8</f>
        <v>2.7272727272727271</v>
      </c>
      <c r="F8" s="8">
        <f>'Bewertung Eigenschaften'!D7</f>
        <v>3</v>
      </c>
      <c r="G8" s="10">
        <f t="shared" si="0"/>
        <v>2.7272727272727271</v>
      </c>
      <c r="H8" s="8">
        <f>'Bewertung Eigenschaften'!E7</f>
        <v>3</v>
      </c>
      <c r="I8" s="10">
        <f t="shared" ref="I8" si="1">H8*$B8</f>
        <v>2.7272727272727271</v>
      </c>
      <c r="K8" s="11">
        <f t="shared" ref="K8:K12" si="2">4*$B8</f>
        <v>3.6363636363636362</v>
      </c>
    </row>
    <row r="9" spans="2:11" ht="15.9" customHeight="1" x14ac:dyDescent="0.35">
      <c r="B9" s="14">
        <f>'Paarvergleich Kriterien'!F15</f>
        <v>0.90909090909090906</v>
      </c>
      <c r="C9" s="1" t="str">
        <f>'Paarvergleich Kriterien'!C9</f>
        <v>Betriebssicherheit (störungsfrei)</v>
      </c>
      <c r="D9" s="8">
        <f>'Bewertung Eigenschaften'!C8</f>
        <v>4</v>
      </c>
      <c r="E9" s="10">
        <f t="shared" si="0"/>
        <v>3.6363636363636362</v>
      </c>
      <c r="F9" s="8">
        <f>'Bewertung Eigenschaften'!D8</f>
        <v>3</v>
      </c>
      <c r="G9" s="10">
        <f t="shared" si="0"/>
        <v>2.7272727272727271</v>
      </c>
      <c r="H9" s="8">
        <f>'Bewertung Eigenschaften'!E8</f>
        <v>3</v>
      </c>
      <c r="I9" s="10">
        <f t="shared" ref="I9" si="3">H9*$B9</f>
        <v>2.7272727272727271</v>
      </c>
      <c r="K9" s="11">
        <f t="shared" si="2"/>
        <v>3.6363636363636362</v>
      </c>
    </row>
    <row r="10" spans="2:11" ht="15.9" customHeight="1" x14ac:dyDescent="0.35">
      <c r="B10" s="14">
        <f>'Paarvergleich Kriterien'!G15</f>
        <v>0.36363636363636365</v>
      </c>
      <c r="C10" s="1" t="str">
        <f>'Paarvergleich Kriterien'!C10</f>
        <v xml:space="preserve">Geschwindigkeit / Strategie </v>
      </c>
      <c r="D10" s="8">
        <f>'Bewertung Eigenschaften'!C9</f>
        <v>2</v>
      </c>
      <c r="E10" s="10">
        <f t="shared" si="0"/>
        <v>0.72727272727272729</v>
      </c>
      <c r="F10" s="8">
        <f>'Bewertung Eigenschaften'!D9</f>
        <v>1</v>
      </c>
      <c r="G10" s="10">
        <f t="shared" si="0"/>
        <v>0.36363636363636365</v>
      </c>
      <c r="H10" s="8">
        <f>'Bewertung Eigenschaften'!E9</f>
        <v>3</v>
      </c>
      <c r="I10" s="10">
        <f t="shared" ref="I10" si="4">H10*$B10</f>
        <v>1.0909090909090908</v>
      </c>
      <c r="K10" s="11">
        <f t="shared" si="2"/>
        <v>1.4545454545454546</v>
      </c>
    </row>
    <row r="11" spans="2:11" ht="15.9" customHeight="1" x14ac:dyDescent="0.35">
      <c r="B11" s="14">
        <f>'Paarvergleich Kriterien'!H15</f>
        <v>0.27272727272727271</v>
      </c>
      <c r="C11" s="1" t="str">
        <f>'Paarvergleich Kriterien'!C11</f>
        <v xml:space="preserve">Modularer Aufbau </v>
      </c>
      <c r="D11" s="8">
        <f>'Bewertung Eigenschaften'!C10</f>
        <v>4</v>
      </c>
      <c r="E11" s="10">
        <f t="shared" si="0"/>
        <v>1.0909090909090908</v>
      </c>
      <c r="F11" s="8">
        <f>'Bewertung Eigenschaften'!D10</f>
        <v>2</v>
      </c>
      <c r="G11" s="10">
        <f t="shared" si="0"/>
        <v>0.54545454545454541</v>
      </c>
      <c r="H11" s="8">
        <f>'Bewertung Eigenschaften'!E10</f>
        <v>2</v>
      </c>
      <c r="I11" s="10">
        <f t="shared" ref="I11" si="5">H11*$B11</f>
        <v>0.54545454545454541</v>
      </c>
      <c r="K11" s="11">
        <f t="shared" si="2"/>
        <v>1.0909090909090908</v>
      </c>
    </row>
    <row r="12" spans="2:11" ht="15.9" customHeight="1" x14ac:dyDescent="0.35">
      <c r="B12" s="14">
        <f>'Paarvergleich Kriterien'!I15</f>
        <v>0.36363636363636365</v>
      </c>
      <c r="C12" s="1" t="str">
        <f>'Paarvergleich Kriterien'!C12</f>
        <v>Wendigkeit des Roboters</v>
      </c>
      <c r="D12" s="8">
        <f>'Bewertung Eigenschaften'!C11</f>
        <v>2</v>
      </c>
      <c r="E12" s="10">
        <f t="shared" si="0"/>
        <v>0.72727272727272729</v>
      </c>
      <c r="F12" s="8">
        <f>'Bewertung Eigenschaften'!D11</f>
        <v>2</v>
      </c>
      <c r="G12" s="10">
        <f t="shared" si="0"/>
        <v>0.72727272727272729</v>
      </c>
      <c r="H12" s="8">
        <f>'Bewertung Eigenschaften'!E11</f>
        <v>3</v>
      </c>
      <c r="I12" s="10">
        <f t="shared" ref="I12" si="6">H12*$B12</f>
        <v>1.0909090909090908</v>
      </c>
      <c r="K12" s="11">
        <f t="shared" si="2"/>
        <v>1.4545454545454546</v>
      </c>
    </row>
    <row r="14" spans="2:11" x14ac:dyDescent="0.35">
      <c r="C14" s="15" t="s">
        <v>9</v>
      </c>
      <c r="D14" s="16">
        <f>SUM(D7:D12)/(4*6)</f>
        <v>0.70833333333333337</v>
      </c>
      <c r="E14" s="10">
        <f>SUM(E7:E12)/$K14</f>
        <v>0.74999999999999978</v>
      </c>
      <c r="F14" s="16">
        <f>SUM(F7:F12)/(4*6)</f>
        <v>0.54166666666666663</v>
      </c>
      <c r="G14" s="10">
        <f>SUM(G7:G12)/$K14</f>
        <v>0.61111111111111105</v>
      </c>
      <c r="H14" s="16">
        <f>SUM(H7:H12)/(4*6)</f>
        <v>0.625</v>
      </c>
      <c r="I14" s="10">
        <f>SUM(I7:I12)/$K14</f>
        <v>0.65972222222222221</v>
      </c>
      <c r="K14" s="9">
        <f>SUM(K7:K12)</f>
        <v>13.090909090909092</v>
      </c>
    </row>
    <row r="15" spans="2:11" x14ac:dyDescent="0.35">
      <c r="C15" s="15" t="s">
        <v>10</v>
      </c>
      <c r="D15" s="32">
        <v>1</v>
      </c>
      <c r="E15" s="31">
        <v>1</v>
      </c>
      <c r="F15" s="20">
        <v>3</v>
      </c>
      <c r="G15" s="8">
        <v>3</v>
      </c>
      <c r="H15" s="20">
        <v>2</v>
      </c>
      <c r="I15" s="8">
        <v>2</v>
      </c>
    </row>
    <row r="51" spans="20:20" x14ac:dyDescent="0.35">
      <c r="T51" t="s">
        <v>51</v>
      </c>
    </row>
  </sheetData>
  <mergeCells count="3">
    <mergeCell ref="D5:E5"/>
    <mergeCell ref="F5:G5"/>
    <mergeCell ref="H5:I5"/>
  </mergeCells>
  <pageMargins left="0.7" right="0.7" top="0.78740157499999996" bottom="0.78740157499999996" header="0.3" footer="0.3"/>
  <pageSetup paperSize="9" scale="75" orientation="landscape" r:id="rId1"/>
  <headerFooter>
    <oddHeader>&amp;C&amp;"-,Fett"&amp;18Nutzwert</oddHeader>
  </headerFooter>
  <ignoredErrors>
    <ignoredError sqref="F7 F8:F12 H7:H12 E14 G14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549767899022646ADCD8372B4AFDD77" ma:contentTypeVersion="3" ma:contentTypeDescription="Ein neues Dokument erstellen." ma:contentTypeScope="" ma:versionID="52dfa371bc222f35ed99d56e727d4f3c">
  <xsd:schema xmlns:xsd="http://www.w3.org/2001/XMLSchema" xmlns:xs="http://www.w3.org/2001/XMLSchema" xmlns:p="http://schemas.microsoft.com/office/2006/metadata/properties" xmlns:ns2="e8c0b0b4-a352-4ab5-8d9a-9b050095665e" targetNamespace="http://schemas.microsoft.com/office/2006/metadata/properties" ma:root="true" ma:fieldsID="3f1c2f473d33a4499a8f2166cddfd851" ns2:_="">
    <xsd:import namespace="e8c0b0b4-a352-4ab5-8d9a-9b05009566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0b0b4-a352-4ab5-8d9a-9b05009566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84FD29-E14B-46B4-816D-655298E698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7A1341-1584-4A26-B51E-5F87041CCA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c0b0b4-a352-4ab5-8d9a-9b05009566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45FC65-F917-4D7D-8488-9E180360F55D}">
  <ds:schemaRefs>
    <ds:schemaRef ds:uri="http://purl.org/dc/elements/1.1/"/>
    <ds:schemaRef ds:uri="http://schemas.microsoft.com/office/2006/documentManagement/types"/>
    <ds:schemaRef ds:uri="http://purl.org/dc/terms/"/>
    <ds:schemaRef ds:uri="http://purl.org/dc/dcmitype/"/>
    <ds:schemaRef ds:uri="http://schemas.openxmlformats.org/package/2006/metadata/core-properties"/>
    <ds:schemaRef ds:uri="http://schemas.microsoft.com/office/2006/metadata/properties"/>
    <ds:schemaRef ds:uri="e8c0b0b4-a352-4ab5-8d9a-9b050095665e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4</vt:i4>
      </vt:variant>
    </vt:vector>
  </HeadingPairs>
  <TitlesOfParts>
    <vt:vector size="9" baseType="lpstr">
      <vt:lpstr>Paarvergleich Kriterien</vt:lpstr>
      <vt:lpstr>Eigenschaften</vt:lpstr>
      <vt:lpstr>Werteskala</vt:lpstr>
      <vt:lpstr>Bewertung Eigenschaften</vt:lpstr>
      <vt:lpstr>Nutzwert</vt:lpstr>
      <vt:lpstr>'Bewertung Eigenschaften'!Druckbereich</vt:lpstr>
      <vt:lpstr>Eigenschaften!Druckbereich</vt:lpstr>
      <vt:lpstr>Nutzwert!Druckbereich</vt:lpstr>
      <vt:lpstr>Werteskala!Druckbereich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Office-Benutzer</dc:creator>
  <cp:keywords/>
  <dc:description/>
  <cp:lastModifiedBy>Kradolfer Timo (kradotim)</cp:lastModifiedBy>
  <cp:revision/>
  <cp:lastPrinted>2025-10-13T19:14:30Z</cp:lastPrinted>
  <dcterms:created xsi:type="dcterms:W3CDTF">2020-09-16T08:34:20Z</dcterms:created>
  <dcterms:modified xsi:type="dcterms:W3CDTF">2026-04-21T21:24:59Z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9bb7c8b-3fd4-4dea-b697-0f2931e84efa_Enabled">
    <vt:lpwstr>true</vt:lpwstr>
  </property>
  <property fmtid="{D5CDD505-2E9C-101B-9397-08002B2CF9AE}" pid="3" name="MSIP_Label_29bb7c8b-3fd4-4dea-b697-0f2931e84efa_SetDate">
    <vt:lpwstr>2021-10-11T08:57:25Z</vt:lpwstr>
  </property>
  <property fmtid="{D5CDD505-2E9C-101B-9397-08002B2CF9AE}" pid="4" name="MSIP_Label_29bb7c8b-3fd4-4dea-b697-0f2931e84efa_Method">
    <vt:lpwstr>Privileged</vt:lpwstr>
  </property>
  <property fmtid="{D5CDD505-2E9C-101B-9397-08002B2CF9AE}" pid="5" name="MSIP_Label_29bb7c8b-3fd4-4dea-b697-0f2931e84efa_Name">
    <vt:lpwstr>29bb7c8b-3fd4-4dea-b697-0f2931e84efa</vt:lpwstr>
  </property>
  <property fmtid="{D5CDD505-2E9C-101B-9397-08002B2CF9AE}" pid="6" name="MSIP_Label_29bb7c8b-3fd4-4dea-b697-0f2931e84efa_SiteId">
    <vt:lpwstr>5d1a9f9d-201f-4a10-b983-451cf65cbc1e</vt:lpwstr>
  </property>
  <property fmtid="{D5CDD505-2E9C-101B-9397-08002B2CF9AE}" pid="7" name="MSIP_Label_29bb7c8b-3fd4-4dea-b697-0f2931e84efa_ActionId">
    <vt:lpwstr>006b65a2-1e9f-4c58-a443-ceba41c0e0f1</vt:lpwstr>
  </property>
  <property fmtid="{D5CDD505-2E9C-101B-9397-08002B2CF9AE}" pid="8" name="MSIP_Label_29bb7c8b-3fd4-4dea-b697-0f2931e84efa_ContentBits">
    <vt:lpwstr>0</vt:lpwstr>
  </property>
  <property fmtid="{D5CDD505-2E9C-101B-9397-08002B2CF9AE}" pid="9" name="ContentTypeId">
    <vt:lpwstr>0x0101000549767899022646ADCD8372B4AFDD77</vt:lpwstr>
  </property>
</Properties>
</file>